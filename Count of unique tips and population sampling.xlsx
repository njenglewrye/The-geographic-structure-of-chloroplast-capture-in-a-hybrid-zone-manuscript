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nick_pleistocene/"/>
    </mc:Choice>
  </mc:AlternateContent>
  <xr:revisionPtr revIDLastSave="0" documentId="13_ncr:9_{CDB63999-5FDC-3643-BD70-51CA153A0CA4}" xr6:coauthVersionLast="47" xr6:coauthVersionMax="47" xr10:uidLastSave="{00000000-0000-0000-0000-000000000000}"/>
  <bookViews>
    <workbookView xWindow="0" yWindow="0" windowWidth="28800" windowHeight="18000" activeTab="1" xr2:uid="{C1790016-7B2C-3648-8F16-7D13B465752A}"/>
  </bookViews>
  <sheets>
    <sheet name="chloroplast.raxml.support.renam" sheetId="1" r:id="rId1"/>
    <sheet name="Unique pop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M3" i="2"/>
  <c r="M4" i="2"/>
  <c r="M2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" i="2"/>
  <c r="H2" i="2" a="1"/>
  <c r="H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<sst xmlns="http://schemas.openxmlformats.org/spreadsheetml/2006/main" count="5331" uniqueCount="1108">
  <si>
    <t>Heuchera alba</t>
  </si>
  <si>
    <t>E306-2</t>
  </si>
  <si>
    <t>WV</t>
  </si>
  <si>
    <t>Grant</t>
  </si>
  <si>
    <t>H63-1</t>
  </si>
  <si>
    <t>H63-2</t>
  </si>
  <si>
    <t>H64-1</t>
  </si>
  <si>
    <t>H64-2</t>
  </si>
  <si>
    <t>I173</t>
  </si>
  <si>
    <t>I174</t>
  </si>
  <si>
    <t>I175</t>
  </si>
  <si>
    <t>I176</t>
  </si>
  <si>
    <t>I177</t>
  </si>
  <si>
    <t>I178</t>
  </si>
  <si>
    <t>I179</t>
  </si>
  <si>
    <t>I180</t>
  </si>
  <si>
    <t>I67</t>
  </si>
  <si>
    <t>Highland</t>
  </si>
  <si>
    <t>Heuchera americana var. americana</t>
  </si>
  <si>
    <t>A1-1</t>
  </si>
  <si>
    <t>CALYCOSA</t>
  </si>
  <si>
    <t>AL</t>
  </si>
  <si>
    <t>A1-2</t>
  </si>
  <si>
    <t>A1-3</t>
  </si>
  <si>
    <t>A1-4</t>
  </si>
  <si>
    <t>A10-1</t>
  </si>
  <si>
    <t>BREVIPETALA</t>
  </si>
  <si>
    <t>IN</t>
  </si>
  <si>
    <t>A10-2</t>
  </si>
  <si>
    <t>A10-3</t>
  </si>
  <si>
    <t>A10-4</t>
  </si>
  <si>
    <t>A10-5</t>
  </si>
  <si>
    <t>A10-6</t>
  </si>
  <si>
    <t>A10-7</t>
  </si>
  <si>
    <t>A10-8</t>
  </si>
  <si>
    <t>A11-1</t>
  </si>
  <si>
    <t>A11-2</t>
  </si>
  <si>
    <t>A11-3</t>
  </si>
  <si>
    <t>A11-4</t>
  </si>
  <si>
    <t>A11-5</t>
  </si>
  <si>
    <t>A11-6</t>
  </si>
  <si>
    <t>A11-7</t>
  </si>
  <si>
    <t>A11-8</t>
  </si>
  <si>
    <t>A2-3</t>
  </si>
  <si>
    <t>A2-4</t>
  </si>
  <si>
    <t>A3-1</t>
  </si>
  <si>
    <t>A3-2</t>
  </si>
  <si>
    <t>A3-3</t>
  </si>
  <si>
    <t>A3-4</t>
  </si>
  <si>
    <t>A34-1</t>
  </si>
  <si>
    <t>TN</t>
  </si>
  <si>
    <t>A34-10</t>
  </si>
  <si>
    <t>A34-2</t>
  </si>
  <si>
    <t>A34-3</t>
  </si>
  <si>
    <t>A34-4</t>
  </si>
  <si>
    <t>A34-5</t>
  </si>
  <si>
    <t>A34-6</t>
  </si>
  <si>
    <t>A34-7</t>
  </si>
  <si>
    <t>A34-8</t>
  </si>
  <si>
    <t>A34-9</t>
  </si>
  <si>
    <t>A35-1</t>
  </si>
  <si>
    <t>A35-10</t>
  </si>
  <si>
    <t>A35-2</t>
  </si>
  <si>
    <t>A35-3</t>
  </si>
  <si>
    <t>A35-4</t>
  </si>
  <si>
    <t>A35-5</t>
  </si>
  <si>
    <t>A35-6</t>
  </si>
  <si>
    <t>A35-7</t>
  </si>
  <si>
    <t>A35-8</t>
  </si>
  <si>
    <t>A35-9</t>
  </si>
  <si>
    <t>A36</t>
  </si>
  <si>
    <t>KY</t>
  </si>
  <si>
    <t>A4-1</t>
  </si>
  <si>
    <t>GA</t>
  </si>
  <si>
    <t>A4-2</t>
  </si>
  <si>
    <t>A4-3</t>
  </si>
  <si>
    <t>A4-4</t>
  </si>
  <si>
    <t>A4-5</t>
  </si>
  <si>
    <t>A56-1</t>
  </si>
  <si>
    <t>AMERICANA</t>
  </si>
  <si>
    <t>NC</t>
  </si>
  <si>
    <t>A56-2</t>
  </si>
  <si>
    <t>A56-3</t>
  </si>
  <si>
    <t>A56-4</t>
  </si>
  <si>
    <t>A56-5</t>
  </si>
  <si>
    <t>A56-6</t>
  </si>
  <si>
    <t>A56-7</t>
  </si>
  <si>
    <t>A57</t>
  </si>
  <si>
    <t>A58-1</t>
  </si>
  <si>
    <t>A58-2</t>
  </si>
  <si>
    <t>A58-3</t>
  </si>
  <si>
    <t>A58-4</t>
  </si>
  <si>
    <t>A59-1</t>
  </si>
  <si>
    <t>A59-2</t>
  </si>
  <si>
    <t>A59-3</t>
  </si>
  <si>
    <t>A59-4</t>
  </si>
  <si>
    <t>A59-5</t>
  </si>
  <si>
    <t>A59-6</t>
  </si>
  <si>
    <t>A59-7</t>
  </si>
  <si>
    <t>A59-8</t>
  </si>
  <si>
    <t>A59-9</t>
  </si>
  <si>
    <t>A6-1</t>
  </si>
  <si>
    <t>A6-2</t>
  </si>
  <si>
    <t>A6-3</t>
  </si>
  <si>
    <t>A60-1</t>
  </si>
  <si>
    <t>A60-2</t>
  </si>
  <si>
    <t>A60-3</t>
  </si>
  <si>
    <t>A60-4</t>
  </si>
  <si>
    <t>A7-1</t>
  </si>
  <si>
    <t>SC</t>
  </si>
  <si>
    <t>A7-2</t>
  </si>
  <si>
    <t>A7-3</t>
  </si>
  <si>
    <t>A7-4</t>
  </si>
  <si>
    <t>A8</t>
  </si>
  <si>
    <t>E1</t>
  </si>
  <si>
    <t>Shelby</t>
  </si>
  <si>
    <t>E10</t>
  </si>
  <si>
    <t>Calhoun</t>
  </si>
  <si>
    <t>E11</t>
  </si>
  <si>
    <t>Marshall</t>
  </si>
  <si>
    <t>E12</t>
  </si>
  <si>
    <t>Jefferson</t>
  </si>
  <si>
    <t>E13</t>
  </si>
  <si>
    <t>Lowndes</t>
  </si>
  <si>
    <t>E14</t>
  </si>
  <si>
    <t>Dallas</t>
  </si>
  <si>
    <t>E1415</t>
  </si>
  <si>
    <t>Abbeville</t>
  </si>
  <si>
    <t>E1416</t>
  </si>
  <si>
    <t>Aiken</t>
  </si>
  <si>
    <t>E1417</t>
  </si>
  <si>
    <t>Anderson</t>
  </si>
  <si>
    <t>E1418</t>
  </si>
  <si>
    <t>Berkeley</t>
  </si>
  <si>
    <t>E1419</t>
  </si>
  <si>
    <t>Cherokee</t>
  </si>
  <si>
    <t>E1420</t>
  </si>
  <si>
    <t>E1421</t>
  </si>
  <si>
    <t>Dorchester</t>
  </si>
  <si>
    <t>E1422</t>
  </si>
  <si>
    <t>Edgefield</t>
  </si>
  <si>
    <t>E1423</t>
  </si>
  <si>
    <t>Fairfield</t>
  </si>
  <si>
    <t>E1425</t>
  </si>
  <si>
    <t>Laurens</t>
  </si>
  <si>
    <t>E1426</t>
  </si>
  <si>
    <t>McCormick</t>
  </si>
  <si>
    <t>E1427</t>
  </si>
  <si>
    <t>Newberry</t>
  </si>
  <si>
    <t>E1428</t>
  </si>
  <si>
    <t>Pickens</t>
  </si>
  <si>
    <t>E1429</t>
  </si>
  <si>
    <t>E1430</t>
  </si>
  <si>
    <t>E1432</t>
  </si>
  <si>
    <t>Union</t>
  </si>
  <si>
    <t>E1433</t>
  </si>
  <si>
    <t>York</t>
  </si>
  <si>
    <t>E1449</t>
  </si>
  <si>
    <t>Burke</t>
  </si>
  <si>
    <t>E1450</t>
  </si>
  <si>
    <t>Cobb</t>
  </si>
  <si>
    <t>E1451</t>
  </si>
  <si>
    <t>Columbia</t>
  </si>
  <si>
    <t>E1452</t>
  </si>
  <si>
    <t>Dade</t>
  </si>
  <si>
    <t>E1453</t>
  </si>
  <si>
    <t>Elbert</t>
  </si>
  <si>
    <t>E1454</t>
  </si>
  <si>
    <t>E1455</t>
  </si>
  <si>
    <t>Screven</t>
  </si>
  <si>
    <t>E1456</t>
  </si>
  <si>
    <t>Walton</t>
  </si>
  <si>
    <t>E1457</t>
  </si>
  <si>
    <t>Bell</t>
  </si>
  <si>
    <t>E1458</t>
  </si>
  <si>
    <t>E1467</t>
  </si>
  <si>
    <t>Rockcastle</t>
  </si>
  <si>
    <t>E1472</t>
  </si>
  <si>
    <t>Fentress</t>
  </si>
  <si>
    <t>E1476</t>
  </si>
  <si>
    <t>Hawkins</t>
  </si>
  <si>
    <t>E1477</t>
  </si>
  <si>
    <t>E1478</t>
  </si>
  <si>
    <t>Johnson</t>
  </si>
  <si>
    <t>E1480</t>
  </si>
  <si>
    <t>Marion</t>
  </si>
  <si>
    <t>E1481</t>
  </si>
  <si>
    <t>Monroe</t>
  </si>
  <si>
    <t>E1483</t>
  </si>
  <si>
    <t>Polk</t>
  </si>
  <si>
    <t>E1484</t>
  </si>
  <si>
    <t>E1485</t>
  </si>
  <si>
    <t>Roane</t>
  </si>
  <si>
    <t>E1486</t>
  </si>
  <si>
    <t>Swain</t>
  </si>
  <si>
    <t>E1487</t>
  </si>
  <si>
    <t>Unicoi</t>
  </si>
  <si>
    <t>E1488</t>
  </si>
  <si>
    <t>E1490</t>
  </si>
  <si>
    <t>VA</t>
  </si>
  <si>
    <t>Botetourt</t>
  </si>
  <si>
    <t>E1491</t>
  </si>
  <si>
    <t>Brunswick</t>
  </si>
  <si>
    <t>E1492</t>
  </si>
  <si>
    <t>Buckingham</t>
  </si>
  <si>
    <t>E1493</t>
  </si>
  <si>
    <t>E1494</t>
  </si>
  <si>
    <t>Charles</t>
  </si>
  <si>
    <t>City</t>
  </si>
  <si>
    <t>E1495</t>
  </si>
  <si>
    <t>Fairfax</t>
  </si>
  <si>
    <t>E1496</t>
  </si>
  <si>
    <t>Fluvanna</t>
  </si>
  <si>
    <t>E1498</t>
  </si>
  <si>
    <t>Giles</t>
  </si>
  <si>
    <t>E1499</t>
  </si>
  <si>
    <t>Goochland</t>
  </si>
  <si>
    <t>E15</t>
  </si>
  <si>
    <t>E1500</t>
  </si>
  <si>
    <t>Halifax</t>
  </si>
  <si>
    <t>E1501</t>
  </si>
  <si>
    <t>E1502</t>
  </si>
  <si>
    <t>E1503</t>
  </si>
  <si>
    <t>Hanover</t>
  </si>
  <si>
    <t>E1504</t>
  </si>
  <si>
    <t>Richmond</t>
  </si>
  <si>
    <t>E1505</t>
  </si>
  <si>
    <t>Isle</t>
  </si>
  <si>
    <t>of</t>
  </si>
  <si>
    <t>Wright</t>
  </si>
  <si>
    <t>E1506</t>
  </si>
  <si>
    <t>James</t>
  </si>
  <si>
    <t>E1507</t>
  </si>
  <si>
    <t>New</t>
  </si>
  <si>
    <t>Kent</t>
  </si>
  <si>
    <t>E1508</t>
  </si>
  <si>
    <t>Page</t>
  </si>
  <si>
    <t>E1510</t>
  </si>
  <si>
    <t>Powhatan</t>
  </si>
  <si>
    <t>E1511</t>
  </si>
  <si>
    <t>Surry</t>
  </si>
  <si>
    <t>E1512</t>
  </si>
  <si>
    <t>E1513</t>
  </si>
  <si>
    <t>Washington</t>
  </si>
  <si>
    <t>E1514</t>
  </si>
  <si>
    <t>E1522</t>
  </si>
  <si>
    <t>MD</t>
  </si>
  <si>
    <t>Frederick</t>
  </si>
  <si>
    <t>E1541</t>
  </si>
  <si>
    <t>HETERADENIA</t>
  </si>
  <si>
    <t>E1542</t>
  </si>
  <si>
    <t>E1544</t>
  </si>
  <si>
    <t>E1545</t>
  </si>
  <si>
    <t>Sevier</t>
  </si>
  <si>
    <t>E1581</t>
  </si>
  <si>
    <t>Morgan</t>
  </si>
  <si>
    <t>E16</t>
  </si>
  <si>
    <t>Randolph</t>
  </si>
  <si>
    <t>E1682</t>
  </si>
  <si>
    <t>NJ</t>
  </si>
  <si>
    <t>Hunterdon</t>
  </si>
  <si>
    <t>E1683</t>
  </si>
  <si>
    <t>OH</t>
  </si>
  <si>
    <t>E1684</t>
  </si>
  <si>
    <t>E1685</t>
  </si>
  <si>
    <t>Noble</t>
  </si>
  <si>
    <t>E1686</t>
  </si>
  <si>
    <t>Portage</t>
  </si>
  <si>
    <t>E1687</t>
  </si>
  <si>
    <t>OK</t>
  </si>
  <si>
    <t>McCurtain</t>
  </si>
  <si>
    <t>E1688</t>
  </si>
  <si>
    <t>PA</t>
  </si>
  <si>
    <t>Bucks</t>
  </si>
  <si>
    <t>E1689</t>
  </si>
  <si>
    <t>Fayette</t>
  </si>
  <si>
    <t>E1690</t>
  </si>
  <si>
    <t>Lancaster</t>
  </si>
  <si>
    <t>E1691</t>
  </si>
  <si>
    <t>Westmoreland</t>
  </si>
  <si>
    <t>E1692</t>
  </si>
  <si>
    <t>TX</t>
  </si>
  <si>
    <t>Bowie</t>
  </si>
  <si>
    <t>E17</t>
  </si>
  <si>
    <t>Talladega</t>
  </si>
  <si>
    <t>E1709</t>
  </si>
  <si>
    <t>Vinton</t>
  </si>
  <si>
    <t>E18</t>
  </si>
  <si>
    <t>Blount</t>
  </si>
  <si>
    <t>E1852</t>
  </si>
  <si>
    <t>Bladen</t>
  </si>
  <si>
    <t>E1853</t>
  </si>
  <si>
    <t>Buncombe</t>
  </si>
  <si>
    <t>E1854</t>
  </si>
  <si>
    <t>E1855</t>
  </si>
  <si>
    <t>Caswell</t>
  </si>
  <si>
    <t>E1856</t>
  </si>
  <si>
    <t>Chatham</t>
  </si>
  <si>
    <t>E1857</t>
  </si>
  <si>
    <t>Durham</t>
  </si>
  <si>
    <t>E1858</t>
  </si>
  <si>
    <t>Graham</t>
  </si>
  <si>
    <t>E1859</t>
  </si>
  <si>
    <t>E1860</t>
  </si>
  <si>
    <t>Granville</t>
  </si>
  <si>
    <t>E1862</t>
  </si>
  <si>
    <t>Harnett</t>
  </si>
  <si>
    <t>E1863</t>
  </si>
  <si>
    <t>Haywood</t>
  </si>
  <si>
    <t>E1864</t>
  </si>
  <si>
    <t>E1865</t>
  </si>
  <si>
    <t>Henderson</t>
  </si>
  <si>
    <t>E1866</t>
  </si>
  <si>
    <t>Hertford</t>
  </si>
  <si>
    <t>E1868</t>
  </si>
  <si>
    <t>Lee</t>
  </si>
  <si>
    <t>E1869</t>
  </si>
  <si>
    <t>E1870</t>
  </si>
  <si>
    <t>E1871</t>
  </si>
  <si>
    <t>E1872</t>
  </si>
  <si>
    <t>Macon</t>
  </si>
  <si>
    <t>E1873</t>
  </si>
  <si>
    <t>E1874</t>
  </si>
  <si>
    <t>Madison</t>
  </si>
  <si>
    <t>E1875</t>
  </si>
  <si>
    <t>E1876</t>
  </si>
  <si>
    <t>Martin</t>
  </si>
  <si>
    <t>E1877</t>
  </si>
  <si>
    <t>McDowell</t>
  </si>
  <si>
    <t>E1878</t>
  </si>
  <si>
    <t>E1879</t>
  </si>
  <si>
    <t>Mitchell</t>
  </si>
  <si>
    <t>E1880</t>
  </si>
  <si>
    <t>E1881</t>
  </si>
  <si>
    <t>Montgomery</t>
  </si>
  <si>
    <t>E1882</t>
  </si>
  <si>
    <t>Moore</t>
  </si>
  <si>
    <t>E1883</t>
  </si>
  <si>
    <t>Nash</t>
  </si>
  <si>
    <t>E1884</t>
  </si>
  <si>
    <t>Northampton</t>
  </si>
  <si>
    <t>E1885</t>
  </si>
  <si>
    <t>Orange</t>
  </si>
  <si>
    <t>E1886</t>
  </si>
  <si>
    <t>E1887</t>
  </si>
  <si>
    <t>E1888</t>
  </si>
  <si>
    <t>E1889</t>
  </si>
  <si>
    <t>E1890</t>
  </si>
  <si>
    <t>E1891</t>
  </si>
  <si>
    <t>E1892</t>
  </si>
  <si>
    <t>Person</t>
  </si>
  <si>
    <t>E1893</t>
  </si>
  <si>
    <t>E1894</t>
  </si>
  <si>
    <t>E1895</t>
  </si>
  <si>
    <t>E1896</t>
  </si>
  <si>
    <t>E1898</t>
  </si>
  <si>
    <t>E1899</t>
  </si>
  <si>
    <t>E19</t>
  </si>
  <si>
    <t>St.</t>
  </si>
  <si>
    <t>Clair</t>
  </si>
  <si>
    <t>E1900</t>
  </si>
  <si>
    <t>Wake</t>
  </si>
  <si>
    <t>E1901</t>
  </si>
  <si>
    <t>Warren</t>
  </si>
  <si>
    <t>E1902</t>
  </si>
  <si>
    <t>Wilkes</t>
  </si>
  <si>
    <t>E1903</t>
  </si>
  <si>
    <t>E1904</t>
  </si>
  <si>
    <t>Yancey</t>
  </si>
  <si>
    <t>E1916</t>
  </si>
  <si>
    <t>E2</t>
  </si>
  <si>
    <t>E3</t>
  </si>
  <si>
    <t>E36</t>
  </si>
  <si>
    <t>E4</t>
  </si>
  <si>
    <t>Clay</t>
  </si>
  <si>
    <t>E438</t>
  </si>
  <si>
    <t>Pulaski</t>
  </si>
  <si>
    <t>E439</t>
  </si>
  <si>
    <t>Henry</t>
  </si>
  <si>
    <t>E440</t>
  </si>
  <si>
    <t>HIRSUTICAULIS</t>
  </si>
  <si>
    <t>Decatur</t>
  </si>
  <si>
    <t>E5</t>
  </si>
  <si>
    <t>Lawrence</t>
  </si>
  <si>
    <t>E505</t>
  </si>
  <si>
    <t>E506</t>
  </si>
  <si>
    <t>Amelia</t>
  </si>
  <si>
    <t>E507</t>
  </si>
  <si>
    <t>E510</t>
  </si>
  <si>
    <t>E511</t>
  </si>
  <si>
    <t>E516</t>
  </si>
  <si>
    <t>Stanly</t>
  </si>
  <si>
    <t>E517</t>
  </si>
  <si>
    <t>E519</t>
  </si>
  <si>
    <t>E523</t>
  </si>
  <si>
    <t>Allegheny</t>
  </si>
  <si>
    <t>E524</t>
  </si>
  <si>
    <t>Campbell</t>
  </si>
  <si>
    <t>E6</t>
  </si>
  <si>
    <t>Tuscaloosa</t>
  </si>
  <si>
    <t>E7</t>
  </si>
  <si>
    <t>E8</t>
  </si>
  <si>
    <t>E9</t>
  </si>
  <si>
    <t>H214-2</t>
  </si>
  <si>
    <t>H246</t>
  </si>
  <si>
    <t>H70</t>
  </si>
  <si>
    <t>H71</t>
  </si>
  <si>
    <t>H83-C</t>
  </si>
  <si>
    <t>Greene</t>
  </si>
  <si>
    <t>H86-C</t>
  </si>
  <si>
    <t>Knox</t>
  </si>
  <si>
    <t>H92-1</t>
  </si>
  <si>
    <t>H92-2</t>
  </si>
  <si>
    <t>H92-3</t>
  </si>
  <si>
    <t>H95</t>
  </si>
  <si>
    <t>I20</t>
  </si>
  <si>
    <t>E1464</t>
  </si>
  <si>
    <t>E1465</t>
  </si>
  <si>
    <t>E1468</t>
  </si>
  <si>
    <t>E1469</t>
  </si>
  <si>
    <t>Claiborne</t>
  </si>
  <si>
    <t>E1470</t>
  </si>
  <si>
    <t>Coffee</t>
  </si>
  <si>
    <t>E1471</t>
  </si>
  <si>
    <t>Dickson</t>
  </si>
  <si>
    <t>E1473</t>
  </si>
  <si>
    <t>Franklin</t>
  </si>
  <si>
    <t>E1474</t>
  </si>
  <si>
    <t>Grainger</t>
  </si>
  <si>
    <t>E1475</t>
  </si>
  <si>
    <t>Grundy</t>
  </si>
  <si>
    <t>E1479</t>
  </si>
  <si>
    <t>E1482</t>
  </si>
  <si>
    <t>E1517</t>
  </si>
  <si>
    <t>AR</t>
  </si>
  <si>
    <t>E1518</t>
  </si>
  <si>
    <t>E1519</t>
  </si>
  <si>
    <t>Bulloch</t>
  </si>
  <si>
    <t>E1520</t>
  </si>
  <si>
    <t>LA</t>
  </si>
  <si>
    <t>Caddo</t>
  </si>
  <si>
    <t>E1521</t>
  </si>
  <si>
    <t>Baltimore</t>
  </si>
  <si>
    <t>E1523</t>
  </si>
  <si>
    <t>Craighead</t>
  </si>
  <si>
    <t>E1679</t>
  </si>
  <si>
    <t>Greenup</t>
  </si>
  <si>
    <t>E443</t>
  </si>
  <si>
    <t>E490</t>
  </si>
  <si>
    <t>E491</t>
  </si>
  <si>
    <t>E492</t>
  </si>
  <si>
    <t>E493</t>
  </si>
  <si>
    <t>E509</t>
  </si>
  <si>
    <t>Cleburne</t>
  </si>
  <si>
    <t>E520</t>
  </si>
  <si>
    <t>I2</t>
  </si>
  <si>
    <t>A33-1</t>
  </si>
  <si>
    <t>A33-2</t>
  </si>
  <si>
    <t>A33-3</t>
  </si>
  <si>
    <t>A33-4</t>
  </si>
  <si>
    <t>A33-5</t>
  </si>
  <si>
    <t>A33-6</t>
  </si>
  <si>
    <t>A28-1</t>
  </si>
  <si>
    <t>MS</t>
  </si>
  <si>
    <t>A28-2</t>
  </si>
  <si>
    <t>A28-3</t>
  </si>
  <si>
    <t>A28-4</t>
  </si>
  <si>
    <t>A28-5</t>
  </si>
  <si>
    <t>A28-6</t>
  </si>
  <si>
    <t>A28-7</t>
  </si>
  <si>
    <t>A28-8</t>
  </si>
  <si>
    <t>A28-9</t>
  </si>
  <si>
    <t>A29-1</t>
  </si>
  <si>
    <t>A29-10</t>
  </si>
  <si>
    <t>A29-2</t>
  </si>
  <si>
    <t>A29-3</t>
  </si>
  <si>
    <t>A29-4</t>
  </si>
  <si>
    <t>A29-5</t>
  </si>
  <si>
    <t>A29-6</t>
  </si>
  <si>
    <t>A29-7</t>
  </si>
  <si>
    <t>A29-8</t>
  </si>
  <si>
    <t>A29-9</t>
  </si>
  <si>
    <t>A53-1</t>
  </si>
  <si>
    <t>A53-10</t>
  </si>
  <si>
    <t>A53-2</t>
  </si>
  <si>
    <t>A53-3</t>
  </si>
  <si>
    <t>A53-4</t>
  </si>
  <si>
    <t>A53-5</t>
  </si>
  <si>
    <t>A53-6</t>
  </si>
  <si>
    <t>A53-7</t>
  </si>
  <si>
    <t>A53-8</t>
  </si>
  <si>
    <t>A53-9</t>
  </si>
  <si>
    <t>A54-1</t>
  </si>
  <si>
    <t>A54-2</t>
  </si>
  <si>
    <t>A54-3</t>
  </si>
  <si>
    <t>E1515</t>
  </si>
  <si>
    <t>Jackson</t>
  </si>
  <si>
    <t>E1516</t>
  </si>
  <si>
    <t>E1578</t>
  </si>
  <si>
    <t>E1579</t>
  </si>
  <si>
    <t>E502</t>
  </si>
  <si>
    <t>E514</t>
  </si>
  <si>
    <t>Floyd</t>
  </si>
  <si>
    <t>E515</t>
  </si>
  <si>
    <t>E518</t>
  </si>
  <si>
    <t>E522</t>
  </si>
  <si>
    <t>A55-1</t>
  </si>
  <si>
    <t>A55-2</t>
  </si>
  <si>
    <t>A55-3</t>
  </si>
  <si>
    <t>A55-4</t>
  </si>
  <si>
    <t>A55-5</t>
  </si>
  <si>
    <t>A55-6</t>
  </si>
  <si>
    <t>A62-1</t>
  </si>
  <si>
    <t>A62-2</t>
  </si>
  <si>
    <t>A62-3</t>
  </si>
  <si>
    <t>A63-1</t>
  </si>
  <si>
    <t>A63-10</t>
  </si>
  <si>
    <t>A63-2</t>
  </si>
  <si>
    <t>A63-3</t>
  </si>
  <si>
    <t>A63-4</t>
  </si>
  <si>
    <t>A63-5</t>
  </si>
  <si>
    <t>A63-6</t>
  </si>
  <si>
    <t>A63-7</t>
  </si>
  <si>
    <t>A63-8</t>
  </si>
  <si>
    <t>A63-9</t>
  </si>
  <si>
    <t>I70</t>
  </si>
  <si>
    <t>Heuchera americana var. hirsuticaulis</t>
  </si>
  <si>
    <t>A13-1</t>
  </si>
  <si>
    <t>IL</t>
  </si>
  <si>
    <t>A13-2</t>
  </si>
  <si>
    <t>A13-3</t>
  </si>
  <si>
    <t>A13-4</t>
  </si>
  <si>
    <t>A13-5</t>
  </si>
  <si>
    <t>A13-6</t>
  </si>
  <si>
    <t>A13-7</t>
  </si>
  <si>
    <t>A13-8</t>
  </si>
  <si>
    <t>A13-9</t>
  </si>
  <si>
    <t>A14</t>
  </si>
  <si>
    <t>A31</t>
  </si>
  <si>
    <t>A32-1</t>
  </si>
  <si>
    <t>A32-10</t>
  </si>
  <si>
    <t>A32-2</t>
  </si>
  <si>
    <t>A32-3</t>
  </si>
  <si>
    <t>A32-4</t>
  </si>
  <si>
    <t>A32-5</t>
  </si>
  <si>
    <t>A32-6</t>
  </si>
  <si>
    <t>A32-7</t>
  </si>
  <si>
    <t>A32-8</t>
  </si>
  <si>
    <t>A32-9</t>
  </si>
  <si>
    <t>A38-1</t>
  </si>
  <si>
    <t>A38-2</t>
  </si>
  <si>
    <t>A39-1</t>
  </si>
  <si>
    <t>A39-10</t>
  </si>
  <si>
    <t>A39-11</t>
  </si>
  <si>
    <t>A39-2</t>
  </si>
  <si>
    <t>A39-3</t>
  </si>
  <si>
    <t>A39-4</t>
  </si>
  <si>
    <t>A39-5</t>
  </si>
  <si>
    <t>A39-6</t>
  </si>
  <si>
    <t>A39-7</t>
  </si>
  <si>
    <t>A39-8</t>
  </si>
  <si>
    <t>A39-9</t>
  </si>
  <si>
    <t>A40</t>
  </si>
  <si>
    <t>A40-2</t>
  </si>
  <si>
    <t>A40-3</t>
  </si>
  <si>
    <t>A41-1</t>
  </si>
  <si>
    <t>MO</t>
  </si>
  <si>
    <t>A41-2</t>
  </si>
  <si>
    <t>A41-3</t>
  </si>
  <si>
    <t>A45-1</t>
  </si>
  <si>
    <t>A45-10</t>
  </si>
  <si>
    <t>A45-2</t>
  </si>
  <si>
    <t>A45-3</t>
  </si>
  <si>
    <t>A45-4</t>
  </si>
  <si>
    <t>A45-5</t>
  </si>
  <si>
    <t>A45-6</t>
  </si>
  <si>
    <t>A45-7</t>
  </si>
  <si>
    <t>A45-8</t>
  </si>
  <si>
    <t>A45-9</t>
  </si>
  <si>
    <t>A46-1</t>
  </si>
  <si>
    <t>A46-2</t>
  </si>
  <si>
    <t>A46-3</t>
  </si>
  <si>
    <t>A46-4</t>
  </si>
  <si>
    <t>A46-5</t>
  </si>
  <si>
    <t>A46-6</t>
  </si>
  <si>
    <t>A46-7</t>
  </si>
  <si>
    <t>A46-8</t>
  </si>
  <si>
    <t>A47-1</t>
  </si>
  <si>
    <t>A47-2</t>
  </si>
  <si>
    <t>A47-3</t>
  </si>
  <si>
    <t>A47-4</t>
  </si>
  <si>
    <t>A47-5</t>
  </si>
  <si>
    <t>A48</t>
  </si>
  <si>
    <t>A49-1</t>
  </si>
  <si>
    <t>A49-10</t>
  </si>
  <si>
    <t>A49-11</t>
  </si>
  <si>
    <t>A49-12</t>
  </si>
  <si>
    <t>A49-2</t>
  </si>
  <si>
    <t>A49-3</t>
  </si>
  <si>
    <t>A49-4</t>
  </si>
  <si>
    <t>A49-5</t>
  </si>
  <si>
    <t>A49-6</t>
  </si>
  <si>
    <t>A49-7</t>
  </si>
  <si>
    <t>A49-8</t>
  </si>
  <si>
    <t>A49-9</t>
  </si>
  <si>
    <t>A9-1</t>
  </si>
  <si>
    <t>A9-2</t>
  </si>
  <si>
    <t>A9-3</t>
  </si>
  <si>
    <t>A9-4</t>
  </si>
  <si>
    <t>A9-5</t>
  </si>
  <si>
    <t>A9-6</t>
  </si>
  <si>
    <t>A9-7</t>
  </si>
  <si>
    <t>E1459</t>
  </si>
  <si>
    <t>Carlisle</t>
  </si>
  <si>
    <t>E1460</t>
  </si>
  <si>
    <t>E1461</t>
  </si>
  <si>
    <t>E1462</t>
  </si>
  <si>
    <t>E1463</t>
  </si>
  <si>
    <t>Edmonson</t>
  </si>
  <si>
    <t>E1524</t>
  </si>
  <si>
    <t>E1525</t>
  </si>
  <si>
    <t>E1526</t>
  </si>
  <si>
    <t>E1527</t>
  </si>
  <si>
    <t>E1528</t>
  </si>
  <si>
    <t>Newton</t>
  </si>
  <si>
    <t>E1529</t>
  </si>
  <si>
    <t>E1531</t>
  </si>
  <si>
    <t>E1532</t>
  </si>
  <si>
    <t>Searcy</t>
  </si>
  <si>
    <t>E1533</t>
  </si>
  <si>
    <t>Stone</t>
  </si>
  <si>
    <t>E1534</t>
  </si>
  <si>
    <t>Van</t>
  </si>
  <si>
    <t>Buren</t>
  </si>
  <si>
    <t>E1535</t>
  </si>
  <si>
    <t>E1536</t>
  </si>
  <si>
    <t>E1537</t>
  </si>
  <si>
    <t>Livingston</t>
  </si>
  <si>
    <t>E1538</t>
  </si>
  <si>
    <t>Lyon</t>
  </si>
  <si>
    <t>E1539</t>
  </si>
  <si>
    <t>Trigg</t>
  </si>
  <si>
    <t>E1540</t>
  </si>
  <si>
    <t>E1543</t>
  </si>
  <si>
    <t>E1580</t>
  </si>
  <si>
    <t>Izard</t>
  </si>
  <si>
    <t>E1680</t>
  </si>
  <si>
    <t>E1681</t>
  </si>
  <si>
    <t>E1693</t>
  </si>
  <si>
    <t>Alexander</t>
  </si>
  <si>
    <t>E1694</t>
  </si>
  <si>
    <t>Hardin</t>
  </si>
  <si>
    <t>E1695</t>
  </si>
  <si>
    <t>E1697</t>
  </si>
  <si>
    <t>E1698</t>
  </si>
  <si>
    <t>Saint</t>
  </si>
  <si>
    <t>E1699</t>
  </si>
  <si>
    <t>Brown</t>
  </si>
  <si>
    <t>E1701</t>
  </si>
  <si>
    <t>Fountain</t>
  </si>
  <si>
    <t>E1702</t>
  </si>
  <si>
    <t>Howard</t>
  </si>
  <si>
    <t>E1703</t>
  </si>
  <si>
    <t>E1704</t>
  </si>
  <si>
    <t>GRAYANA</t>
  </si>
  <si>
    <t>Boone</t>
  </si>
  <si>
    <t>E1705</t>
  </si>
  <si>
    <t>Shannon</t>
  </si>
  <si>
    <t>E1706</t>
  </si>
  <si>
    <t>E1707</t>
  </si>
  <si>
    <t>Louis</t>
  </si>
  <si>
    <t>E1708</t>
  </si>
  <si>
    <t>Taney</t>
  </si>
  <si>
    <t>E1710</t>
  </si>
  <si>
    <t>Mayes</t>
  </si>
  <si>
    <t>E1711</t>
  </si>
  <si>
    <t>Sequoyah</t>
  </si>
  <si>
    <t>E441</t>
  </si>
  <si>
    <t>Hardeman</t>
  </si>
  <si>
    <t>E442</t>
  </si>
  <si>
    <t>McNairy</t>
  </si>
  <si>
    <t>E498</t>
  </si>
  <si>
    <t>Yell</t>
  </si>
  <si>
    <t>E499</t>
  </si>
  <si>
    <t>Garland</t>
  </si>
  <si>
    <t>E500</t>
  </si>
  <si>
    <t>E501</t>
  </si>
  <si>
    <t>Faulkner</t>
  </si>
  <si>
    <t>E503</t>
  </si>
  <si>
    <t>E513</t>
  </si>
  <si>
    <t>Genevieve</t>
  </si>
  <si>
    <t>E521</t>
  </si>
  <si>
    <t>H177-2</t>
  </si>
  <si>
    <t>H59-1</t>
  </si>
  <si>
    <t>H59-2</t>
  </si>
  <si>
    <t>H60-1</t>
  </si>
  <si>
    <t>H60-2</t>
  </si>
  <si>
    <t>H60-3</t>
  </si>
  <si>
    <t>H61-1</t>
  </si>
  <si>
    <t>H61-2</t>
  </si>
  <si>
    <t>H61-3</t>
  </si>
  <si>
    <t>H62-1</t>
  </si>
  <si>
    <t>H62-2</t>
  </si>
  <si>
    <t>H62-4</t>
  </si>
  <si>
    <t>H62-5</t>
  </si>
  <si>
    <t>H62-6</t>
  </si>
  <si>
    <t>Heuchera americana var. hispida</t>
  </si>
  <si>
    <t>E1509</t>
  </si>
  <si>
    <t>Patrick</t>
  </si>
  <si>
    <t>E1546</t>
  </si>
  <si>
    <t>Augusta</t>
  </si>
  <si>
    <t>E1547</t>
  </si>
  <si>
    <t>E1548</t>
  </si>
  <si>
    <t>Bedford</t>
  </si>
  <si>
    <t>E1549</t>
  </si>
  <si>
    <t>E1550</t>
  </si>
  <si>
    <t>E1551</t>
  </si>
  <si>
    <t>E1552</t>
  </si>
  <si>
    <t>Craig</t>
  </si>
  <si>
    <t>E1553</t>
  </si>
  <si>
    <t>E1554</t>
  </si>
  <si>
    <t>E1555</t>
  </si>
  <si>
    <t>E1556</t>
  </si>
  <si>
    <t>E1557</t>
  </si>
  <si>
    <t>Fauquier</t>
  </si>
  <si>
    <t>E1558</t>
  </si>
  <si>
    <t>E1559</t>
  </si>
  <si>
    <t>E1560</t>
  </si>
  <si>
    <t>E1561</t>
  </si>
  <si>
    <t>E1562</t>
  </si>
  <si>
    <t>Grayson</t>
  </si>
  <si>
    <t>E1563</t>
  </si>
  <si>
    <t>Loudoun</t>
  </si>
  <si>
    <t>E1564</t>
  </si>
  <si>
    <t>E1565</t>
  </si>
  <si>
    <t>E1566</t>
  </si>
  <si>
    <t>Pittsylvania</t>
  </si>
  <si>
    <t>E1567</t>
  </si>
  <si>
    <t>E1568</t>
  </si>
  <si>
    <t>Roanoke</t>
  </si>
  <si>
    <t>E1569</t>
  </si>
  <si>
    <t>Scott</t>
  </si>
  <si>
    <t>E1570</t>
  </si>
  <si>
    <t>Tazewell</t>
  </si>
  <si>
    <t>E1571</t>
  </si>
  <si>
    <t>Wise</t>
  </si>
  <si>
    <t>E1572</t>
  </si>
  <si>
    <t>Wythe</t>
  </si>
  <si>
    <t>E1573</t>
  </si>
  <si>
    <t>E1574</t>
  </si>
  <si>
    <t>Greenbrier</t>
  </si>
  <si>
    <t>E1575</t>
  </si>
  <si>
    <t>E1576</t>
  </si>
  <si>
    <t>Pocahontas</t>
  </si>
  <si>
    <t>E1677</t>
  </si>
  <si>
    <t>E1926</t>
  </si>
  <si>
    <t>Alleghany</t>
  </si>
  <si>
    <t>E1927</t>
  </si>
  <si>
    <t>E1928</t>
  </si>
  <si>
    <t>H101-2</t>
  </si>
  <si>
    <t>Rockbridge</t>
  </si>
  <si>
    <t>H101-3</t>
  </si>
  <si>
    <t>H102-1</t>
  </si>
  <si>
    <t>Nelson</t>
  </si>
  <si>
    <t>H102-2</t>
  </si>
  <si>
    <t>H102-3</t>
  </si>
  <si>
    <t>H103-1</t>
  </si>
  <si>
    <t>H103-2</t>
  </si>
  <si>
    <t>H104-1</t>
  </si>
  <si>
    <t>H104-2</t>
  </si>
  <si>
    <t>Heuchera bracteata</t>
  </si>
  <si>
    <t>H164-1</t>
  </si>
  <si>
    <t>Heuchera caroliniana</t>
  </si>
  <si>
    <t>E1434</t>
  </si>
  <si>
    <t>Chester</t>
  </si>
  <si>
    <t>E1435</t>
  </si>
  <si>
    <t>E1436</t>
  </si>
  <si>
    <t>E1438</t>
  </si>
  <si>
    <t>Darlington</t>
  </si>
  <si>
    <t>E1905</t>
  </si>
  <si>
    <t>E1911</t>
  </si>
  <si>
    <t>Iredell</t>
  </si>
  <si>
    <t>E1915</t>
  </si>
  <si>
    <t>Mecklenburg</t>
  </si>
  <si>
    <t>E1921</t>
  </si>
  <si>
    <t>E1924</t>
  </si>
  <si>
    <t>E35</t>
  </si>
  <si>
    <t>H216-1</t>
  </si>
  <si>
    <t>H216-2</t>
  </si>
  <si>
    <t>A50-1</t>
  </si>
  <si>
    <t>A50-2</t>
  </si>
  <si>
    <t>A50-4</t>
  </si>
  <si>
    <t>Heuchera cylindrica var. glabella</t>
  </si>
  <si>
    <t>H115-1</t>
  </si>
  <si>
    <t>MT</t>
  </si>
  <si>
    <t>Lewis</t>
  </si>
  <si>
    <t>and</t>
  </si>
  <si>
    <t>Clark</t>
  </si>
  <si>
    <t>Heuchera eastwoodiae</t>
  </si>
  <si>
    <t>H35</t>
  </si>
  <si>
    <t>Heuchera elegans</t>
  </si>
  <si>
    <t>H44-1</t>
  </si>
  <si>
    <t>Heuchera glabra</t>
  </si>
  <si>
    <t>H137-2</t>
  </si>
  <si>
    <t>OR</t>
  </si>
  <si>
    <t>Heuchera glomerulata</t>
  </si>
  <si>
    <t>A22-1</t>
  </si>
  <si>
    <t>AZ</t>
  </si>
  <si>
    <t>Heuchera inconstans</t>
  </si>
  <si>
    <t>H33</t>
  </si>
  <si>
    <t>I90-C</t>
  </si>
  <si>
    <t>Coconino</t>
  </si>
  <si>
    <t>Heuchera longiflora var. aceroides</t>
  </si>
  <si>
    <t>L1-1</t>
  </si>
  <si>
    <t>L1-3</t>
  </si>
  <si>
    <t>L3-1</t>
  </si>
  <si>
    <t>L3-2</t>
  </si>
  <si>
    <t>Heuchera longiflora var. longiflora</t>
  </si>
  <si>
    <t>FL-25</t>
  </si>
  <si>
    <t>FL-26</t>
  </si>
  <si>
    <t>FL-27</t>
  </si>
  <si>
    <t>L14-1</t>
  </si>
  <si>
    <t>L14-2</t>
  </si>
  <si>
    <t>L20-1</t>
  </si>
  <si>
    <t>L20-2</t>
  </si>
  <si>
    <t>L6-1</t>
  </si>
  <si>
    <t>L6-2</t>
  </si>
  <si>
    <t>L9-2</t>
  </si>
  <si>
    <t>Heuchera longipetala var. longipetala</t>
  </si>
  <si>
    <t>I21</t>
  </si>
  <si>
    <t>Heuchera maxima</t>
  </si>
  <si>
    <t>I6</t>
  </si>
  <si>
    <t>Heuchera mexicana var. mexicana</t>
  </si>
  <si>
    <t>I51</t>
  </si>
  <si>
    <t>Heuchera micrantha var. macropetala</t>
  </si>
  <si>
    <t>H146</t>
  </si>
  <si>
    <t>Heuchera missouriensis</t>
  </si>
  <si>
    <t>A37-5</t>
  </si>
  <si>
    <t>Heuchera novomexicana</t>
  </si>
  <si>
    <t>H24-1</t>
  </si>
  <si>
    <t>Heuchera parviflora var. parviflora</t>
  </si>
  <si>
    <t>H170-3</t>
  </si>
  <si>
    <t>Heuchera parvifolia</t>
  </si>
  <si>
    <t>H107-1</t>
  </si>
  <si>
    <t>WY</t>
  </si>
  <si>
    <t>Heuchera puberula</t>
  </si>
  <si>
    <t>H181-1</t>
  </si>
  <si>
    <t>Heuchera pubescens</t>
  </si>
  <si>
    <t>E1497</t>
  </si>
  <si>
    <t>E1596</t>
  </si>
  <si>
    <t>Bath</t>
  </si>
  <si>
    <t>E1598</t>
  </si>
  <si>
    <t>E1599</t>
  </si>
  <si>
    <t>E1600</t>
  </si>
  <si>
    <t>E1601</t>
  </si>
  <si>
    <t>E1602</t>
  </si>
  <si>
    <t>E1603</t>
  </si>
  <si>
    <t>E1936</t>
  </si>
  <si>
    <t>Stokes</t>
  </si>
  <si>
    <t>H100-1</t>
  </si>
  <si>
    <t>H100-10</t>
  </si>
  <si>
    <t>H100-7</t>
  </si>
  <si>
    <t>H96-1</t>
  </si>
  <si>
    <t>H96-2</t>
  </si>
  <si>
    <t>H96-3</t>
  </si>
  <si>
    <t>Heuchera richardsonii</t>
  </si>
  <si>
    <t>A15-10</t>
  </si>
  <si>
    <t>A15-11</t>
  </si>
  <si>
    <t>A15-12</t>
  </si>
  <si>
    <t>A15-13</t>
  </si>
  <si>
    <t>A15-15</t>
  </si>
  <si>
    <t>A15-2</t>
  </si>
  <si>
    <t>A15-3</t>
  </si>
  <si>
    <t>A15-4</t>
  </si>
  <si>
    <t>A15-5</t>
  </si>
  <si>
    <t>A15-6</t>
  </si>
  <si>
    <t>A15-7</t>
  </si>
  <si>
    <t>A15-8</t>
  </si>
  <si>
    <t>A15-9</t>
  </si>
  <si>
    <t>A16-1</t>
  </si>
  <si>
    <t>WS</t>
  </si>
  <si>
    <t>A16-10</t>
  </si>
  <si>
    <t>A16-11</t>
  </si>
  <si>
    <t>A16-12</t>
  </si>
  <si>
    <t>A16-2</t>
  </si>
  <si>
    <t>A16-3</t>
  </si>
  <si>
    <t>A16-4</t>
  </si>
  <si>
    <t>A16-6</t>
  </si>
  <si>
    <t>A16-8</t>
  </si>
  <si>
    <t>A16-9</t>
  </si>
  <si>
    <t>A17-1</t>
  </si>
  <si>
    <t>RICHARDSONII</t>
  </si>
  <si>
    <t>A17-2</t>
  </si>
  <si>
    <t>A17-3</t>
  </si>
  <si>
    <t>A17-4</t>
  </si>
  <si>
    <t>A17-5</t>
  </si>
  <si>
    <t>A17-6</t>
  </si>
  <si>
    <t>A17-7</t>
  </si>
  <si>
    <t>A17-8</t>
  </si>
  <si>
    <t>A17-9</t>
  </si>
  <si>
    <t>A21-1</t>
  </si>
  <si>
    <t>MN</t>
  </si>
  <si>
    <t>A21-10</t>
  </si>
  <si>
    <t>A21-11</t>
  </si>
  <si>
    <t>A21-2</t>
  </si>
  <si>
    <t>A21-3</t>
  </si>
  <si>
    <t>A21-4</t>
  </si>
  <si>
    <t>A21-5</t>
  </si>
  <si>
    <t>A21-6</t>
  </si>
  <si>
    <t>A21-7</t>
  </si>
  <si>
    <t>A21-8</t>
  </si>
  <si>
    <t>A21-9</t>
  </si>
  <si>
    <t>A42-1</t>
  </si>
  <si>
    <t>A42-2</t>
  </si>
  <si>
    <t>A42-3</t>
  </si>
  <si>
    <t>A42-4</t>
  </si>
  <si>
    <t>A43-1</t>
  </si>
  <si>
    <t>A43-2</t>
  </si>
  <si>
    <t>A43-3</t>
  </si>
  <si>
    <t>A44-1</t>
  </si>
  <si>
    <t>A44-10</t>
  </si>
  <si>
    <t>A44-2</t>
  </si>
  <si>
    <t>A44-3</t>
  </si>
  <si>
    <t>A44-4</t>
  </si>
  <si>
    <t>A44-5</t>
  </si>
  <si>
    <t>A44-6</t>
  </si>
  <si>
    <t>A44-7</t>
  </si>
  <si>
    <t>A44-8</t>
  </si>
  <si>
    <t>A44-9</t>
  </si>
  <si>
    <t>E1780</t>
  </si>
  <si>
    <t>IA</t>
  </si>
  <si>
    <t>Cedar</t>
  </si>
  <si>
    <t>E1781</t>
  </si>
  <si>
    <t>E1782</t>
  </si>
  <si>
    <t>E1783</t>
  </si>
  <si>
    <t>E1784</t>
  </si>
  <si>
    <t>E1785</t>
  </si>
  <si>
    <t>E1786</t>
  </si>
  <si>
    <t>Story</t>
  </si>
  <si>
    <t>E1787</t>
  </si>
  <si>
    <t>E1788</t>
  </si>
  <si>
    <t>E1789</t>
  </si>
  <si>
    <t>WI</t>
  </si>
  <si>
    <t>Crawford</t>
  </si>
  <si>
    <t>E1790</t>
  </si>
  <si>
    <t>Rock</t>
  </si>
  <si>
    <t>E1791</t>
  </si>
  <si>
    <t>E1792</t>
  </si>
  <si>
    <t>E1793</t>
  </si>
  <si>
    <t>E1794</t>
  </si>
  <si>
    <t>CO</t>
  </si>
  <si>
    <t>El</t>
  </si>
  <si>
    <t>Paso</t>
  </si>
  <si>
    <t>E1795</t>
  </si>
  <si>
    <t>Fulton</t>
  </si>
  <si>
    <t>E1796</t>
  </si>
  <si>
    <t>Porter</t>
  </si>
  <si>
    <t>E1797</t>
  </si>
  <si>
    <t>KS</t>
  </si>
  <si>
    <t>E1798</t>
  </si>
  <si>
    <t>E1799</t>
  </si>
  <si>
    <t>Andrew</t>
  </si>
  <si>
    <t>E1800</t>
  </si>
  <si>
    <t>E1801</t>
  </si>
  <si>
    <t>Sainte</t>
  </si>
  <si>
    <t>Geneveive</t>
  </si>
  <si>
    <t>E1802</t>
  </si>
  <si>
    <t>ND</t>
  </si>
  <si>
    <t>Golden</t>
  </si>
  <si>
    <t>Valley</t>
  </si>
  <si>
    <t>E1803</t>
  </si>
  <si>
    <t>Richland</t>
  </si>
  <si>
    <t>E1804</t>
  </si>
  <si>
    <t>Ottawa</t>
  </si>
  <si>
    <t>E1805</t>
  </si>
  <si>
    <t>SD</t>
  </si>
  <si>
    <t>Custer</t>
  </si>
  <si>
    <t>E542</t>
  </si>
  <si>
    <t>McHenry</t>
  </si>
  <si>
    <t>E543</t>
  </si>
  <si>
    <t>Dickinson</t>
  </si>
  <si>
    <t>E544</t>
  </si>
  <si>
    <t>Wilson</t>
  </si>
  <si>
    <t>E639</t>
  </si>
  <si>
    <t>Saskatchewan</t>
  </si>
  <si>
    <t>Wallwort</t>
  </si>
  <si>
    <t>E640</t>
  </si>
  <si>
    <t>Peoria</t>
  </si>
  <si>
    <t>E641</t>
  </si>
  <si>
    <t>Will</t>
  </si>
  <si>
    <t>H105-1</t>
  </si>
  <si>
    <t>H106-1</t>
  </si>
  <si>
    <t>H106-2</t>
  </si>
  <si>
    <t>H166-1</t>
  </si>
  <si>
    <t>H166-2</t>
  </si>
  <si>
    <t>H167-1</t>
  </si>
  <si>
    <t>H167-2</t>
  </si>
  <si>
    <t>I65</t>
  </si>
  <si>
    <t>MI</t>
  </si>
  <si>
    <t>I82</t>
  </si>
  <si>
    <t>Alberta</t>
  </si>
  <si>
    <t>I58</t>
  </si>
  <si>
    <t>Heuchera sanguinea</t>
  </si>
  <si>
    <t>A26-1</t>
  </si>
  <si>
    <t>Heuchera villosa var. arkansana</t>
  </si>
  <si>
    <t>H192-1</t>
  </si>
  <si>
    <t>Heuchera villosa var. macrorhiza</t>
  </si>
  <si>
    <t>A30-1</t>
  </si>
  <si>
    <t>Heuchera villosa var. villosa</t>
  </si>
  <si>
    <t>A5-1</t>
  </si>
  <si>
    <t>Heuchera woodsiaphila</t>
  </si>
  <si>
    <t>H23-1</t>
  </si>
  <si>
    <t>Heuchera wootonii</t>
  </si>
  <si>
    <t>H22-1</t>
  </si>
  <si>
    <t>Original species</t>
  </si>
  <si>
    <t>Origional individual</t>
  </si>
  <si>
    <t>Merged populations</t>
  </si>
  <si>
    <t>E306</t>
  </si>
  <si>
    <t>H63</t>
  </si>
  <si>
    <t>H64</t>
  </si>
  <si>
    <t>A1</t>
  </si>
  <si>
    <t>A10</t>
  </si>
  <si>
    <t>A11</t>
  </si>
  <si>
    <t>A2</t>
  </si>
  <si>
    <t>A3</t>
  </si>
  <si>
    <t>A34</t>
  </si>
  <si>
    <t>A35</t>
  </si>
  <si>
    <t>A4</t>
  </si>
  <si>
    <t>A56</t>
  </si>
  <si>
    <t>A58</t>
  </si>
  <si>
    <t>A59</t>
  </si>
  <si>
    <t>A6</t>
  </si>
  <si>
    <t>A60</t>
  </si>
  <si>
    <t>A7</t>
  </si>
  <si>
    <t>H214</t>
  </si>
  <si>
    <t>H83</t>
  </si>
  <si>
    <t>H86</t>
  </si>
  <si>
    <t>H92</t>
  </si>
  <si>
    <t>A33</t>
  </si>
  <si>
    <t>A28</t>
  </si>
  <si>
    <t>A29</t>
  </si>
  <si>
    <t>A53</t>
  </si>
  <si>
    <t>A54</t>
  </si>
  <si>
    <t>A55</t>
  </si>
  <si>
    <t>A62</t>
  </si>
  <si>
    <t>A63</t>
  </si>
  <si>
    <t>A13</t>
  </si>
  <si>
    <t>A32</t>
  </si>
  <si>
    <t>A38</t>
  </si>
  <si>
    <t>A39</t>
  </si>
  <si>
    <t>A41</t>
  </si>
  <si>
    <t>A45</t>
  </si>
  <si>
    <t>A46</t>
  </si>
  <si>
    <t>A47</t>
  </si>
  <si>
    <t>A49</t>
  </si>
  <si>
    <t>A9</t>
  </si>
  <si>
    <t>H177</t>
  </si>
  <si>
    <t>H59</t>
  </si>
  <si>
    <t>H60</t>
  </si>
  <si>
    <t>H61</t>
  </si>
  <si>
    <t>H62</t>
  </si>
  <si>
    <t>H101</t>
  </si>
  <si>
    <t>H102</t>
  </si>
  <si>
    <t>H103</t>
  </si>
  <si>
    <t>H104</t>
  </si>
  <si>
    <t>H164</t>
  </si>
  <si>
    <t>H216</t>
  </si>
  <si>
    <t>H115</t>
  </si>
  <si>
    <t>H44</t>
  </si>
  <si>
    <t>H137</t>
  </si>
  <si>
    <t>A22</t>
  </si>
  <si>
    <t>I90</t>
  </si>
  <si>
    <t>L1</t>
  </si>
  <si>
    <t>L3</t>
  </si>
  <si>
    <t>FL</t>
  </si>
  <si>
    <t>L14</t>
  </si>
  <si>
    <t>L20</t>
  </si>
  <si>
    <t>L6</t>
  </si>
  <si>
    <t>L9</t>
  </si>
  <si>
    <t>A37</t>
  </si>
  <si>
    <t>H24</t>
  </si>
  <si>
    <t>H170</t>
  </si>
  <si>
    <t>H107</t>
  </si>
  <si>
    <t>H181</t>
  </si>
  <si>
    <t>H100</t>
  </si>
  <si>
    <t>H96</t>
  </si>
  <si>
    <t>A15</t>
  </si>
  <si>
    <t>A16</t>
  </si>
  <si>
    <t>A17</t>
  </si>
  <si>
    <t>A21</t>
  </si>
  <si>
    <t>A42</t>
  </si>
  <si>
    <t>A43</t>
  </si>
  <si>
    <t>A44</t>
  </si>
  <si>
    <t>H105</t>
  </si>
  <si>
    <t>H106</t>
  </si>
  <si>
    <t>H166</t>
  </si>
  <si>
    <t>H167</t>
  </si>
  <si>
    <t>A26</t>
  </si>
  <si>
    <t>H192</t>
  </si>
  <si>
    <t>A30</t>
  </si>
  <si>
    <t>A5</t>
  </si>
  <si>
    <t>H23</t>
  </si>
  <si>
    <t>H22</t>
  </si>
  <si>
    <t>Unique populations</t>
  </si>
  <si>
    <t>Unique population taxa</t>
  </si>
  <si>
    <t>Taxon group</t>
  </si>
  <si>
    <t>Population count</t>
  </si>
  <si>
    <t>outgroup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</si>
</sst>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BBF5-D1BF-1C40-9929-AF9529BE8937}">
  <dimension ref="A1:G729"/>
  <sheetViews>
    <sheetView topLeftCell="A708" workbookViewId="0">
      <selection activeCell="A492" sqref="A1:B1048576"/>
    </sheetView>
  </sheetViews>
  <sheetFormatPr baseColWidth="10" defaultRowHeight="16" x14ac:dyDescent="0.2"/>
  <cols>
    <col min="1" max="1" width="67.5" customWidth="1"/>
    <col min="2" max="2" width="21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0</v>
      </c>
      <c r="B2" t="s">
        <v>4</v>
      </c>
    </row>
    <row r="3" spans="1:5" x14ac:dyDescent="0.2">
      <c r="A3" t="s">
        <v>0</v>
      </c>
      <c r="B3" t="s">
        <v>5</v>
      </c>
      <c r="C3" t="s">
        <v>2</v>
      </c>
    </row>
    <row r="4" spans="1:5" x14ac:dyDescent="0.2">
      <c r="A4" t="s">
        <v>0</v>
      </c>
      <c r="B4" t="s">
        <v>6</v>
      </c>
    </row>
    <row r="5" spans="1:5" x14ac:dyDescent="0.2">
      <c r="A5" t="s">
        <v>0</v>
      </c>
      <c r="B5" t="s">
        <v>7</v>
      </c>
      <c r="C5" t="s">
        <v>2</v>
      </c>
    </row>
    <row r="6" spans="1:5" x14ac:dyDescent="0.2">
      <c r="A6" t="s">
        <v>0</v>
      </c>
      <c r="B6" t="s">
        <v>8</v>
      </c>
    </row>
    <row r="7" spans="1:5" x14ac:dyDescent="0.2">
      <c r="A7" t="s">
        <v>0</v>
      </c>
      <c r="B7" t="s">
        <v>9</v>
      </c>
    </row>
    <row r="8" spans="1:5" x14ac:dyDescent="0.2">
      <c r="A8" t="s">
        <v>0</v>
      </c>
      <c r="B8" t="s">
        <v>10</v>
      </c>
    </row>
    <row r="9" spans="1:5" x14ac:dyDescent="0.2">
      <c r="A9" t="s">
        <v>0</v>
      </c>
      <c r="B9" t="s">
        <v>11</v>
      </c>
    </row>
    <row r="10" spans="1:5" x14ac:dyDescent="0.2">
      <c r="A10" t="s">
        <v>0</v>
      </c>
      <c r="B10" t="s">
        <v>12</v>
      </c>
    </row>
    <row r="11" spans="1:5" x14ac:dyDescent="0.2">
      <c r="A11" t="s">
        <v>0</v>
      </c>
      <c r="B11" t="s">
        <v>13</v>
      </c>
    </row>
    <row r="12" spans="1:5" x14ac:dyDescent="0.2">
      <c r="A12" t="s">
        <v>0</v>
      </c>
      <c r="B12" t="s">
        <v>14</v>
      </c>
    </row>
    <row r="13" spans="1:5" x14ac:dyDescent="0.2">
      <c r="A13" t="s">
        <v>0</v>
      </c>
      <c r="B13" t="s">
        <v>15</v>
      </c>
    </row>
    <row r="14" spans="1:5" x14ac:dyDescent="0.2">
      <c r="A14" t="s">
        <v>0</v>
      </c>
      <c r="B14" t="s">
        <v>16</v>
      </c>
      <c r="C14" t="s">
        <v>2</v>
      </c>
      <c r="D14" t="s">
        <v>17</v>
      </c>
    </row>
    <row r="15" spans="1:5" x14ac:dyDescent="0.2">
      <c r="A15" t="s">
        <v>18</v>
      </c>
      <c r="B15" t="s">
        <v>19</v>
      </c>
      <c r="C15" t="s">
        <v>20</v>
      </c>
      <c r="D15" t="s">
        <v>21</v>
      </c>
    </row>
    <row r="16" spans="1:5" x14ac:dyDescent="0.2">
      <c r="A16" t="s">
        <v>18</v>
      </c>
      <c r="B16" t="s">
        <v>22</v>
      </c>
      <c r="C16" t="s">
        <v>20</v>
      </c>
      <c r="D16" t="s">
        <v>20</v>
      </c>
      <c r="E16" t="s">
        <v>21</v>
      </c>
    </row>
    <row r="17" spans="1:4" x14ac:dyDescent="0.2">
      <c r="A17" t="s">
        <v>18</v>
      </c>
      <c r="B17" t="s">
        <v>23</v>
      </c>
      <c r="C17" t="s">
        <v>20</v>
      </c>
      <c r="D17" t="s">
        <v>21</v>
      </c>
    </row>
    <row r="18" spans="1:4" x14ac:dyDescent="0.2">
      <c r="A18" t="s">
        <v>18</v>
      </c>
      <c r="B18" t="s">
        <v>24</v>
      </c>
      <c r="C18" t="s">
        <v>20</v>
      </c>
      <c r="D18" t="s">
        <v>21</v>
      </c>
    </row>
    <row r="19" spans="1:4" x14ac:dyDescent="0.2">
      <c r="A19" t="s">
        <v>18</v>
      </c>
      <c r="B19" t="s">
        <v>25</v>
      </c>
      <c r="C19" t="s">
        <v>26</v>
      </c>
      <c r="D19" t="s">
        <v>27</v>
      </c>
    </row>
    <row r="20" spans="1:4" x14ac:dyDescent="0.2">
      <c r="A20" t="s">
        <v>18</v>
      </c>
      <c r="B20" t="s">
        <v>28</v>
      </c>
      <c r="C20" t="s">
        <v>26</v>
      </c>
      <c r="D20" t="s">
        <v>27</v>
      </c>
    </row>
    <row r="21" spans="1:4" x14ac:dyDescent="0.2">
      <c r="A21" t="s">
        <v>18</v>
      </c>
      <c r="B21" t="s">
        <v>29</v>
      </c>
      <c r="C21" t="s">
        <v>26</v>
      </c>
      <c r="D21" t="s">
        <v>27</v>
      </c>
    </row>
    <row r="22" spans="1:4" x14ac:dyDescent="0.2">
      <c r="A22" t="s">
        <v>18</v>
      </c>
      <c r="B22" t="s">
        <v>30</v>
      </c>
      <c r="C22" t="s">
        <v>26</v>
      </c>
      <c r="D22" t="s">
        <v>27</v>
      </c>
    </row>
    <row r="23" spans="1:4" x14ac:dyDescent="0.2">
      <c r="A23" t="s">
        <v>18</v>
      </c>
      <c r="B23" t="s">
        <v>31</v>
      </c>
      <c r="C23" t="s">
        <v>26</v>
      </c>
      <c r="D23" t="s">
        <v>27</v>
      </c>
    </row>
    <row r="24" spans="1:4" x14ac:dyDescent="0.2">
      <c r="A24" t="s">
        <v>18</v>
      </c>
      <c r="B24" t="s">
        <v>32</v>
      </c>
      <c r="C24" t="s">
        <v>26</v>
      </c>
      <c r="D24" t="s">
        <v>27</v>
      </c>
    </row>
    <row r="25" spans="1:4" x14ac:dyDescent="0.2">
      <c r="A25" t="s">
        <v>18</v>
      </c>
      <c r="B25" t="s">
        <v>33</v>
      </c>
      <c r="C25" t="s">
        <v>26</v>
      </c>
      <c r="D25" t="s">
        <v>27</v>
      </c>
    </row>
    <row r="26" spans="1:4" x14ac:dyDescent="0.2">
      <c r="A26" t="s">
        <v>18</v>
      </c>
      <c r="B26" t="s">
        <v>34</v>
      </c>
      <c r="C26" t="s">
        <v>26</v>
      </c>
      <c r="D26" t="s">
        <v>27</v>
      </c>
    </row>
    <row r="27" spans="1:4" x14ac:dyDescent="0.2">
      <c r="A27" t="s">
        <v>18</v>
      </c>
      <c r="B27" t="s">
        <v>35</v>
      </c>
      <c r="C27" t="s">
        <v>26</v>
      </c>
      <c r="D27" t="s">
        <v>27</v>
      </c>
    </row>
    <row r="28" spans="1:4" x14ac:dyDescent="0.2">
      <c r="A28" t="s">
        <v>18</v>
      </c>
      <c r="B28" t="s">
        <v>36</v>
      </c>
      <c r="C28" t="s">
        <v>26</v>
      </c>
      <c r="D28" t="s">
        <v>27</v>
      </c>
    </row>
    <row r="29" spans="1:4" x14ac:dyDescent="0.2">
      <c r="A29" t="s">
        <v>18</v>
      </c>
      <c r="B29" t="s">
        <v>37</v>
      </c>
      <c r="C29" t="s">
        <v>26</v>
      </c>
      <c r="D29" t="s">
        <v>27</v>
      </c>
    </row>
    <row r="30" spans="1:4" x14ac:dyDescent="0.2">
      <c r="A30" t="s">
        <v>18</v>
      </c>
      <c r="B30" t="s">
        <v>38</v>
      </c>
      <c r="C30" t="s">
        <v>26</v>
      </c>
      <c r="D30" t="s">
        <v>27</v>
      </c>
    </row>
    <row r="31" spans="1:4" x14ac:dyDescent="0.2">
      <c r="A31" t="s">
        <v>18</v>
      </c>
      <c r="B31" t="s">
        <v>39</v>
      </c>
      <c r="C31" t="s">
        <v>26</v>
      </c>
      <c r="D31" t="s">
        <v>27</v>
      </c>
    </row>
    <row r="32" spans="1:4" x14ac:dyDescent="0.2">
      <c r="A32" t="s">
        <v>18</v>
      </c>
      <c r="B32" t="s">
        <v>40</v>
      </c>
      <c r="C32" t="s">
        <v>26</v>
      </c>
      <c r="D32" t="s">
        <v>27</v>
      </c>
    </row>
    <row r="33" spans="1:5" x14ac:dyDescent="0.2">
      <c r="A33" t="s">
        <v>18</v>
      </c>
      <c r="B33" t="s">
        <v>41</v>
      </c>
      <c r="C33" t="s">
        <v>26</v>
      </c>
      <c r="D33" t="s">
        <v>27</v>
      </c>
    </row>
    <row r="34" spans="1:5" x14ac:dyDescent="0.2">
      <c r="A34" t="s">
        <v>18</v>
      </c>
      <c r="B34" t="s">
        <v>42</v>
      </c>
      <c r="C34" t="s">
        <v>26</v>
      </c>
      <c r="D34" t="s">
        <v>27</v>
      </c>
    </row>
    <row r="35" spans="1:5" x14ac:dyDescent="0.2">
      <c r="A35" t="s">
        <v>18</v>
      </c>
      <c r="B35" t="s">
        <v>43</v>
      </c>
      <c r="C35" t="s">
        <v>20</v>
      </c>
      <c r="D35" t="s">
        <v>21</v>
      </c>
    </row>
    <row r="36" spans="1:5" x14ac:dyDescent="0.2">
      <c r="A36" t="s">
        <v>18</v>
      </c>
      <c r="B36" t="s">
        <v>44</v>
      </c>
      <c r="C36" t="s">
        <v>20</v>
      </c>
      <c r="D36" t="s">
        <v>21</v>
      </c>
    </row>
    <row r="37" spans="1:5" x14ac:dyDescent="0.2">
      <c r="A37" t="s">
        <v>18</v>
      </c>
      <c r="B37" t="s">
        <v>45</v>
      </c>
      <c r="C37" t="s">
        <v>20</v>
      </c>
      <c r="D37" t="s">
        <v>21</v>
      </c>
    </row>
    <row r="38" spans="1:5" x14ac:dyDescent="0.2">
      <c r="A38" t="s">
        <v>18</v>
      </c>
      <c r="B38" t="s">
        <v>46</v>
      </c>
      <c r="C38" t="s">
        <v>20</v>
      </c>
      <c r="D38" t="s">
        <v>20</v>
      </c>
      <c r="E38" t="s">
        <v>21</v>
      </c>
    </row>
    <row r="39" spans="1:5" x14ac:dyDescent="0.2">
      <c r="A39" t="s">
        <v>18</v>
      </c>
      <c r="B39" t="s">
        <v>47</v>
      </c>
      <c r="C39" t="s">
        <v>20</v>
      </c>
      <c r="D39" t="s">
        <v>20</v>
      </c>
      <c r="E39" t="s">
        <v>21</v>
      </c>
    </row>
    <row r="40" spans="1:5" x14ac:dyDescent="0.2">
      <c r="A40" t="s">
        <v>18</v>
      </c>
      <c r="B40" t="s">
        <v>48</v>
      </c>
      <c r="C40" t="s">
        <v>20</v>
      </c>
      <c r="D40" t="s">
        <v>21</v>
      </c>
    </row>
    <row r="41" spans="1:5" x14ac:dyDescent="0.2">
      <c r="A41" t="s">
        <v>18</v>
      </c>
      <c r="B41" t="s">
        <v>49</v>
      </c>
      <c r="C41" t="s">
        <v>26</v>
      </c>
      <c r="D41" t="s">
        <v>50</v>
      </c>
    </row>
    <row r="42" spans="1:5" x14ac:dyDescent="0.2">
      <c r="A42" t="s">
        <v>18</v>
      </c>
      <c r="B42" t="s">
        <v>51</v>
      </c>
      <c r="C42" t="s">
        <v>26</v>
      </c>
      <c r="D42" t="s">
        <v>50</v>
      </c>
    </row>
    <row r="43" spans="1:5" x14ac:dyDescent="0.2">
      <c r="A43" t="s">
        <v>18</v>
      </c>
      <c r="B43" t="s">
        <v>52</v>
      </c>
      <c r="C43" t="s">
        <v>26</v>
      </c>
      <c r="D43" t="s">
        <v>50</v>
      </c>
    </row>
    <row r="44" spans="1:5" x14ac:dyDescent="0.2">
      <c r="A44" t="s">
        <v>18</v>
      </c>
      <c r="B44" t="s">
        <v>53</v>
      </c>
      <c r="C44" t="s">
        <v>26</v>
      </c>
      <c r="D44" t="s">
        <v>50</v>
      </c>
    </row>
    <row r="45" spans="1:5" x14ac:dyDescent="0.2">
      <c r="A45" t="s">
        <v>18</v>
      </c>
      <c r="B45" t="s">
        <v>54</v>
      </c>
      <c r="C45" t="s">
        <v>26</v>
      </c>
      <c r="D45" t="s">
        <v>50</v>
      </c>
    </row>
    <row r="46" spans="1:5" x14ac:dyDescent="0.2">
      <c r="A46" t="s">
        <v>18</v>
      </c>
      <c r="B46" t="s">
        <v>55</v>
      </c>
      <c r="C46" t="s">
        <v>26</v>
      </c>
      <c r="D46" t="s">
        <v>50</v>
      </c>
    </row>
    <row r="47" spans="1:5" x14ac:dyDescent="0.2">
      <c r="A47" t="s">
        <v>18</v>
      </c>
      <c r="B47" t="s">
        <v>56</v>
      </c>
      <c r="C47" t="s">
        <v>26</v>
      </c>
      <c r="D47" t="s">
        <v>50</v>
      </c>
    </row>
    <row r="48" spans="1:5" x14ac:dyDescent="0.2">
      <c r="A48" t="s">
        <v>18</v>
      </c>
      <c r="B48" t="s">
        <v>57</v>
      </c>
      <c r="C48" t="s">
        <v>26</v>
      </c>
      <c r="D48" t="s">
        <v>50</v>
      </c>
    </row>
    <row r="49" spans="1:5" x14ac:dyDescent="0.2">
      <c r="A49" t="s">
        <v>18</v>
      </c>
      <c r="B49" t="s">
        <v>58</v>
      </c>
      <c r="C49" t="s">
        <v>26</v>
      </c>
      <c r="D49" t="s">
        <v>50</v>
      </c>
    </row>
    <row r="50" spans="1:5" x14ac:dyDescent="0.2">
      <c r="A50" t="s">
        <v>18</v>
      </c>
      <c r="B50" t="s">
        <v>59</v>
      </c>
      <c r="C50" t="s">
        <v>26</v>
      </c>
      <c r="D50" t="s">
        <v>50</v>
      </c>
    </row>
    <row r="51" spans="1:5" x14ac:dyDescent="0.2">
      <c r="A51" t="s">
        <v>18</v>
      </c>
      <c r="B51" t="s">
        <v>60</v>
      </c>
      <c r="C51" t="s">
        <v>26</v>
      </c>
      <c r="D51" t="s">
        <v>50</v>
      </c>
    </row>
    <row r="52" spans="1:5" x14ac:dyDescent="0.2">
      <c r="A52" t="s">
        <v>18</v>
      </c>
      <c r="B52" t="s">
        <v>61</v>
      </c>
      <c r="C52" t="s">
        <v>26</v>
      </c>
      <c r="D52" t="s">
        <v>50</v>
      </c>
    </row>
    <row r="53" spans="1:5" x14ac:dyDescent="0.2">
      <c r="A53" t="s">
        <v>18</v>
      </c>
      <c r="B53" t="s">
        <v>62</v>
      </c>
      <c r="C53" t="s">
        <v>26</v>
      </c>
      <c r="D53" t="s">
        <v>50</v>
      </c>
    </row>
    <row r="54" spans="1:5" x14ac:dyDescent="0.2">
      <c r="A54" t="s">
        <v>18</v>
      </c>
      <c r="B54" t="s">
        <v>63</v>
      </c>
      <c r="C54" t="s">
        <v>26</v>
      </c>
      <c r="D54" t="s">
        <v>50</v>
      </c>
    </row>
    <row r="55" spans="1:5" x14ac:dyDescent="0.2">
      <c r="A55" t="s">
        <v>18</v>
      </c>
      <c r="B55" t="s">
        <v>64</v>
      </c>
      <c r="C55" t="s">
        <v>26</v>
      </c>
      <c r="D55" t="s">
        <v>50</v>
      </c>
    </row>
    <row r="56" spans="1:5" x14ac:dyDescent="0.2">
      <c r="A56" t="s">
        <v>18</v>
      </c>
      <c r="B56" t="s">
        <v>65</v>
      </c>
      <c r="C56" t="s">
        <v>26</v>
      </c>
      <c r="D56" t="s">
        <v>50</v>
      </c>
    </row>
    <row r="57" spans="1:5" x14ac:dyDescent="0.2">
      <c r="A57" t="s">
        <v>18</v>
      </c>
      <c r="B57" t="s">
        <v>66</v>
      </c>
      <c r="C57" t="s">
        <v>26</v>
      </c>
      <c r="D57" t="s">
        <v>50</v>
      </c>
    </row>
    <row r="58" spans="1:5" x14ac:dyDescent="0.2">
      <c r="A58" t="s">
        <v>18</v>
      </c>
      <c r="B58" t="s">
        <v>67</v>
      </c>
      <c r="C58" t="s">
        <v>26</v>
      </c>
      <c r="D58" t="s">
        <v>50</v>
      </c>
    </row>
    <row r="59" spans="1:5" x14ac:dyDescent="0.2">
      <c r="A59" t="s">
        <v>18</v>
      </c>
      <c r="B59" t="s">
        <v>68</v>
      </c>
      <c r="C59" t="s">
        <v>26</v>
      </c>
      <c r="D59" t="s">
        <v>50</v>
      </c>
    </row>
    <row r="60" spans="1:5" x14ac:dyDescent="0.2">
      <c r="A60" t="s">
        <v>18</v>
      </c>
      <c r="B60" t="s">
        <v>69</v>
      </c>
      <c r="C60" t="s">
        <v>26</v>
      </c>
      <c r="D60" t="s">
        <v>50</v>
      </c>
    </row>
    <row r="61" spans="1:5" x14ac:dyDescent="0.2">
      <c r="A61" t="s">
        <v>18</v>
      </c>
      <c r="B61" t="s">
        <v>70</v>
      </c>
      <c r="C61" t="s">
        <v>26</v>
      </c>
      <c r="D61" t="s">
        <v>71</v>
      </c>
    </row>
    <row r="62" spans="1:5" x14ac:dyDescent="0.2">
      <c r="A62" t="s">
        <v>18</v>
      </c>
      <c r="B62" t="s">
        <v>72</v>
      </c>
      <c r="C62" t="s">
        <v>20</v>
      </c>
      <c r="D62" t="s">
        <v>73</v>
      </c>
    </row>
    <row r="63" spans="1:5" x14ac:dyDescent="0.2">
      <c r="A63" t="s">
        <v>18</v>
      </c>
      <c r="B63" t="s">
        <v>74</v>
      </c>
      <c r="C63" t="s">
        <v>20</v>
      </c>
      <c r="D63" t="s">
        <v>20</v>
      </c>
      <c r="E63" t="s">
        <v>73</v>
      </c>
    </row>
    <row r="64" spans="1:5" x14ac:dyDescent="0.2">
      <c r="A64" t="s">
        <v>18</v>
      </c>
      <c r="B64" t="s">
        <v>75</v>
      </c>
      <c r="C64" t="s">
        <v>20</v>
      </c>
      <c r="D64" t="s">
        <v>73</v>
      </c>
    </row>
    <row r="65" spans="1:4" x14ac:dyDescent="0.2">
      <c r="A65" t="s">
        <v>18</v>
      </c>
      <c r="B65" t="s">
        <v>76</v>
      </c>
      <c r="C65" t="s">
        <v>20</v>
      </c>
      <c r="D65" t="s">
        <v>73</v>
      </c>
    </row>
    <row r="66" spans="1:4" x14ac:dyDescent="0.2">
      <c r="A66" t="s">
        <v>18</v>
      </c>
      <c r="B66" t="s">
        <v>77</v>
      </c>
      <c r="C66" t="s">
        <v>20</v>
      </c>
      <c r="D66" t="s">
        <v>73</v>
      </c>
    </row>
    <row r="67" spans="1:4" x14ac:dyDescent="0.2">
      <c r="A67" t="s">
        <v>18</v>
      </c>
      <c r="B67" t="s">
        <v>78</v>
      </c>
      <c r="C67" t="s">
        <v>79</v>
      </c>
      <c r="D67" t="s">
        <v>80</v>
      </c>
    </row>
    <row r="68" spans="1:4" x14ac:dyDescent="0.2">
      <c r="A68" t="s">
        <v>18</v>
      </c>
      <c r="B68" t="s">
        <v>81</v>
      </c>
      <c r="C68" t="s">
        <v>79</v>
      </c>
      <c r="D68" t="s">
        <v>80</v>
      </c>
    </row>
    <row r="69" spans="1:4" x14ac:dyDescent="0.2">
      <c r="A69" t="s">
        <v>18</v>
      </c>
      <c r="B69" t="s">
        <v>82</v>
      </c>
      <c r="C69" t="s">
        <v>79</v>
      </c>
      <c r="D69" t="s">
        <v>80</v>
      </c>
    </row>
    <row r="70" spans="1:4" x14ac:dyDescent="0.2">
      <c r="A70" t="s">
        <v>18</v>
      </c>
      <c r="B70" t="s">
        <v>83</v>
      </c>
      <c r="C70" t="s">
        <v>79</v>
      </c>
      <c r="D70" t="s">
        <v>80</v>
      </c>
    </row>
    <row r="71" spans="1:4" x14ac:dyDescent="0.2">
      <c r="A71" t="s">
        <v>18</v>
      </c>
      <c r="B71" t="s">
        <v>84</v>
      </c>
      <c r="C71" t="s">
        <v>79</v>
      </c>
      <c r="D71" t="s">
        <v>80</v>
      </c>
    </row>
    <row r="72" spans="1:4" x14ac:dyDescent="0.2">
      <c r="A72" t="s">
        <v>18</v>
      </c>
      <c r="B72" t="s">
        <v>85</v>
      </c>
      <c r="C72" t="s">
        <v>79</v>
      </c>
      <c r="D72" t="s">
        <v>80</v>
      </c>
    </row>
    <row r="73" spans="1:4" x14ac:dyDescent="0.2">
      <c r="A73" t="s">
        <v>18</v>
      </c>
      <c r="B73" t="s">
        <v>86</v>
      </c>
      <c r="C73" t="s">
        <v>79</v>
      </c>
      <c r="D73" t="s">
        <v>80</v>
      </c>
    </row>
    <row r="74" spans="1:4" x14ac:dyDescent="0.2">
      <c r="A74" t="s">
        <v>18</v>
      </c>
      <c r="B74" t="s">
        <v>87</v>
      </c>
      <c r="C74" t="s">
        <v>79</v>
      </c>
      <c r="D74" t="s">
        <v>80</v>
      </c>
    </row>
    <row r="75" spans="1:4" x14ac:dyDescent="0.2">
      <c r="A75" t="s">
        <v>18</v>
      </c>
      <c r="B75" t="s">
        <v>88</v>
      </c>
      <c r="C75" t="s">
        <v>79</v>
      </c>
      <c r="D75" t="s">
        <v>80</v>
      </c>
    </row>
    <row r="76" spans="1:4" x14ac:dyDescent="0.2">
      <c r="A76" t="s">
        <v>18</v>
      </c>
      <c r="B76" t="s">
        <v>89</v>
      </c>
      <c r="C76" t="s">
        <v>79</v>
      </c>
      <c r="D76" t="s">
        <v>80</v>
      </c>
    </row>
    <row r="77" spans="1:4" x14ac:dyDescent="0.2">
      <c r="A77" t="s">
        <v>18</v>
      </c>
      <c r="B77" t="s">
        <v>90</v>
      </c>
      <c r="C77" t="s">
        <v>79</v>
      </c>
      <c r="D77" t="s">
        <v>80</v>
      </c>
    </row>
    <row r="78" spans="1:4" x14ac:dyDescent="0.2">
      <c r="A78" t="s">
        <v>18</v>
      </c>
      <c r="B78" t="s">
        <v>91</v>
      </c>
      <c r="C78" t="s">
        <v>79</v>
      </c>
      <c r="D78" t="s">
        <v>80</v>
      </c>
    </row>
    <row r="79" spans="1:4" x14ac:dyDescent="0.2">
      <c r="A79" t="s">
        <v>18</v>
      </c>
      <c r="B79" t="s">
        <v>92</v>
      </c>
      <c r="C79" t="s">
        <v>79</v>
      </c>
      <c r="D79" t="s">
        <v>80</v>
      </c>
    </row>
    <row r="80" spans="1:4" x14ac:dyDescent="0.2">
      <c r="A80" t="s">
        <v>18</v>
      </c>
      <c r="B80" t="s">
        <v>93</v>
      </c>
      <c r="C80" t="s">
        <v>79</v>
      </c>
      <c r="D80" t="s">
        <v>80</v>
      </c>
    </row>
    <row r="81" spans="1:4" x14ac:dyDescent="0.2">
      <c r="A81" t="s">
        <v>18</v>
      </c>
      <c r="B81" t="s">
        <v>94</v>
      </c>
      <c r="C81" t="s">
        <v>79</v>
      </c>
      <c r="D81" t="s">
        <v>80</v>
      </c>
    </row>
    <row r="82" spans="1:4" x14ac:dyDescent="0.2">
      <c r="A82" t="s">
        <v>18</v>
      </c>
      <c r="B82" t="s">
        <v>95</v>
      </c>
      <c r="C82" t="s">
        <v>79</v>
      </c>
      <c r="D82" t="s">
        <v>80</v>
      </c>
    </row>
    <row r="83" spans="1:4" x14ac:dyDescent="0.2">
      <c r="A83" t="s">
        <v>18</v>
      </c>
      <c r="B83" t="s">
        <v>96</v>
      </c>
      <c r="C83" t="s">
        <v>79</v>
      </c>
      <c r="D83" t="s">
        <v>80</v>
      </c>
    </row>
    <row r="84" spans="1:4" x14ac:dyDescent="0.2">
      <c r="A84" t="s">
        <v>18</v>
      </c>
      <c r="B84" t="s">
        <v>97</v>
      </c>
      <c r="C84" t="s">
        <v>79</v>
      </c>
      <c r="D84" t="s">
        <v>80</v>
      </c>
    </row>
    <row r="85" spans="1:4" x14ac:dyDescent="0.2">
      <c r="A85" t="s">
        <v>18</v>
      </c>
      <c r="B85" t="s">
        <v>98</v>
      </c>
      <c r="C85" t="s">
        <v>79</v>
      </c>
      <c r="D85" t="s">
        <v>80</v>
      </c>
    </row>
    <row r="86" spans="1:4" x14ac:dyDescent="0.2">
      <c r="A86" t="s">
        <v>18</v>
      </c>
      <c r="B86" t="s">
        <v>99</v>
      </c>
      <c r="C86" t="s">
        <v>79</v>
      </c>
      <c r="D86" t="s">
        <v>80</v>
      </c>
    </row>
    <row r="87" spans="1:4" x14ac:dyDescent="0.2">
      <c r="A87" t="s">
        <v>18</v>
      </c>
      <c r="B87" t="s">
        <v>100</v>
      </c>
      <c r="C87" t="s">
        <v>79</v>
      </c>
      <c r="D87" t="s">
        <v>80</v>
      </c>
    </row>
    <row r="88" spans="1:4" x14ac:dyDescent="0.2">
      <c r="A88" t="s">
        <v>18</v>
      </c>
      <c r="B88" t="s">
        <v>101</v>
      </c>
      <c r="C88" t="s">
        <v>20</v>
      </c>
      <c r="D88" t="s">
        <v>73</v>
      </c>
    </row>
    <row r="89" spans="1:4" x14ac:dyDescent="0.2">
      <c r="A89" t="s">
        <v>18</v>
      </c>
      <c r="B89" t="s">
        <v>102</v>
      </c>
      <c r="C89" t="s">
        <v>20</v>
      </c>
      <c r="D89" t="s">
        <v>73</v>
      </c>
    </row>
    <row r="90" spans="1:4" x14ac:dyDescent="0.2">
      <c r="A90" t="s">
        <v>18</v>
      </c>
      <c r="B90" t="s">
        <v>103</v>
      </c>
      <c r="C90" t="s">
        <v>20</v>
      </c>
      <c r="D90" t="s">
        <v>73</v>
      </c>
    </row>
    <row r="91" spans="1:4" x14ac:dyDescent="0.2">
      <c r="A91" t="s">
        <v>18</v>
      </c>
      <c r="B91" t="s">
        <v>104</v>
      </c>
      <c r="C91" t="s">
        <v>79</v>
      </c>
      <c r="D91" t="s">
        <v>80</v>
      </c>
    </row>
    <row r="92" spans="1:4" x14ac:dyDescent="0.2">
      <c r="A92" t="s">
        <v>18</v>
      </c>
      <c r="B92" t="s">
        <v>105</v>
      </c>
      <c r="C92" t="s">
        <v>79</v>
      </c>
      <c r="D92" t="s">
        <v>80</v>
      </c>
    </row>
    <row r="93" spans="1:4" x14ac:dyDescent="0.2">
      <c r="A93" t="s">
        <v>18</v>
      </c>
      <c r="B93" t="s">
        <v>106</v>
      </c>
      <c r="C93" t="s">
        <v>79</v>
      </c>
      <c r="D93" t="s">
        <v>80</v>
      </c>
    </row>
    <row r="94" spans="1:4" x14ac:dyDescent="0.2">
      <c r="A94" t="s">
        <v>18</v>
      </c>
      <c r="B94" t="s">
        <v>107</v>
      </c>
      <c r="C94" t="s">
        <v>79</v>
      </c>
      <c r="D94" t="s">
        <v>80</v>
      </c>
    </row>
    <row r="95" spans="1:4" x14ac:dyDescent="0.2">
      <c r="A95" t="s">
        <v>18</v>
      </c>
      <c r="B95" t="s">
        <v>108</v>
      </c>
      <c r="C95" t="s">
        <v>79</v>
      </c>
      <c r="D95" t="s">
        <v>109</v>
      </c>
    </row>
    <row r="96" spans="1:4" x14ac:dyDescent="0.2">
      <c r="A96" t="s">
        <v>18</v>
      </c>
      <c r="B96" t="s">
        <v>110</v>
      </c>
      <c r="C96" t="s">
        <v>79</v>
      </c>
      <c r="D96" t="s">
        <v>109</v>
      </c>
    </row>
    <row r="97" spans="1:5" x14ac:dyDescent="0.2">
      <c r="A97" t="s">
        <v>18</v>
      </c>
      <c r="B97" t="s">
        <v>111</v>
      </c>
      <c r="C97" t="s">
        <v>79</v>
      </c>
      <c r="D97" t="s">
        <v>109</v>
      </c>
    </row>
    <row r="98" spans="1:5" x14ac:dyDescent="0.2">
      <c r="A98" t="s">
        <v>18</v>
      </c>
      <c r="B98" t="s">
        <v>112</v>
      </c>
      <c r="C98" t="s">
        <v>79</v>
      </c>
      <c r="D98" t="s">
        <v>109</v>
      </c>
    </row>
    <row r="99" spans="1:5" x14ac:dyDescent="0.2">
      <c r="A99" t="s">
        <v>18</v>
      </c>
      <c r="B99" t="s">
        <v>113</v>
      </c>
      <c r="C99" t="s">
        <v>20</v>
      </c>
      <c r="D99" t="s">
        <v>73</v>
      </c>
    </row>
    <row r="100" spans="1:5" x14ac:dyDescent="0.2">
      <c r="A100" t="s">
        <v>18</v>
      </c>
      <c r="B100" t="s">
        <v>114</v>
      </c>
      <c r="C100" t="s">
        <v>20</v>
      </c>
      <c r="D100" t="s">
        <v>21</v>
      </c>
      <c r="E100" t="s">
        <v>115</v>
      </c>
    </row>
    <row r="101" spans="1:5" x14ac:dyDescent="0.2">
      <c r="A101" t="s">
        <v>18</v>
      </c>
      <c r="B101" t="s">
        <v>116</v>
      </c>
      <c r="C101" t="s">
        <v>20</v>
      </c>
      <c r="D101" t="s">
        <v>21</v>
      </c>
      <c r="E101" t="s">
        <v>117</v>
      </c>
    </row>
    <row r="102" spans="1:5" x14ac:dyDescent="0.2">
      <c r="A102" t="s">
        <v>18</v>
      </c>
      <c r="B102" t="s">
        <v>118</v>
      </c>
      <c r="C102" t="s">
        <v>20</v>
      </c>
      <c r="D102" t="s">
        <v>21</v>
      </c>
      <c r="E102" t="s">
        <v>119</v>
      </c>
    </row>
    <row r="103" spans="1:5" x14ac:dyDescent="0.2">
      <c r="A103" t="s">
        <v>18</v>
      </c>
      <c r="B103" t="s">
        <v>120</v>
      </c>
      <c r="C103" t="s">
        <v>20</v>
      </c>
      <c r="D103" t="s">
        <v>21</v>
      </c>
      <c r="E103" t="s">
        <v>121</v>
      </c>
    </row>
    <row r="104" spans="1:5" x14ac:dyDescent="0.2">
      <c r="A104" t="s">
        <v>18</v>
      </c>
      <c r="B104" t="s">
        <v>122</v>
      </c>
      <c r="C104" t="s">
        <v>20</v>
      </c>
      <c r="D104" t="s">
        <v>21</v>
      </c>
      <c r="E104" t="s">
        <v>123</v>
      </c>
    </row>
    <row r="105" spans="1:5" x14ac:dyDescent="0.2">
      <c r="A105" t="s">
        <v>18</v>
      </c>
      <c r="B105" t="s">
        <v>124</v>
      </c>
      <c r="C105" t="s">
        <v>20</v>
      </c>
      <c r="D105" t="s">
        <v>21</v>
      </c>
      <c r="E105" t="s">
        <v>125</v>
      </c>
    </row>
    <row r="106" spans="1:5" x14ac:dyDescent="0.2">
      <c r="A106" t="s">
        <v>18</v>
      </c>
      <c r="B106" t="s">
        <v>126</v>
      </c>
      <c r="C106" t="s">
        <v>79</v>
      </c>
      <c r="D106" t="s">
        <v>109</v>
      </c>
      <c r="E106" t="s">
        <v>127</v>
      </c>
    </row>
    <row r="107" spans="1:5" x14ac:dyDescent="0.2">
      <c r="A107" t="s">
        <v>18</v>
      </c>
      <c r="B107" t="s">
        <v>128</v>
      </c>
      <c r="C107" t="s">
        <v>79</v>
      </c>
      <c r="D107" t="s">
        <v>109</v>
      </c>
      <c r="E107" t="s">
        <v>129</v>
      </c>
    </row>
    <row r="108" spans="1:5" x14ac:dyDescent="0.2">
      <c r="A108" t="s">
        <v>18</v>
      </c>
      <c r="B108" t="s">
        <v>130</v>
      </c>
      <c r="C108" t="s">
        <v>79</v>
      </c>
      <c r="D108" t="s">
        <v>109</v>
      </c>
      <c r="E108" t="s">
        <v>131</v>
      </c>
    </row>
    <row r="109" spans="1:5" x14ac:dyDescent="0.2">
      <c r="A109" t="s">
        <v>18</v>
      </c>
      <c r="B109" t="s">
        <v>132</v>
      </c>
      <c r="C109" t="s">
        <v>79</v>
      </c>
      <c r="D109" t="s">
        <v>109</v>
      </c>
      <c r="E109" t="s">
        <v>133</v>
      </c>
    </row>
    <row r="110" spans="1:5" x14ac:dyDescent="0.2">
      <c r="A110" t="s">
        <v>18</v>
      </c>
      <c r="B110" t="s">
        <v>134</v>
      </c>
      <c r="C110" t="s">
        <v>79</v>
      </c>
      <c r="D110" t="s">
        <v>109</v>
      </c>
      <c r="E110" t="s">
        <v>135</v>
      </c>
    </row>
    <row r="111" spans="1:5" x14ac:dyDescent="0.2">
      <c r="A111" t="s">
        <v>18</v>
      </c>
      <c r="B111" t="s">
        <v>136</v>
      </c>
      <c r="C111" t="s">
        <v>79</v>
      </c>
      <c r="D111" t="s">
        <v>109</v>
      </c>
      <c r="E111" t="s">
        <v>135</v>
      </c>
    </row>
    <row r="112" spans="1:5" x14ac:dyDescent="0.2">
      <c r="A112" t="s">
        <v>18</v>
      </c>
      <c r="B112" t="s">
        <v>137</v>
      </c>
      <c r="C112" t="s">
        <v>79</v>
      </c>
      <c r="D112" t="s">
        <v>109</v>
      </c>
      <c r="E112" t="s">
        <v>138</v>
      </c>
    </row>
    <row r="113" spans="1:5" x14ac:dyDescent="0.2">
      <c r="A113" t="s">
        <v>18</v>
      </c>
      <c r="B113" t="s">
        <v>139</v>
      </c>
      <c r="C113" t="s">
        <v>79</v>
      </c>
      <c r="D113" t="s">
        <v>109</v>
      </c>
      <c r="E113" t="s">
        <v>140</v>
      </c>
    </row>
    <row r="114" spans="1:5" x14ac:dyDescent="0.2">
      <c r="A114" t="s">
        <v>18</v>
      </c>
      <c r="B114" t="s">
        <v>141</v>
      </c>
      <c r="C114" t="s">
        <v>79</v>
      </c>
      <c r="D114" t="s">
        <v>109</v>
      </c>
      <c r="E114" t="s">
        <v>142</v>
      </c>
    </row>
    <row r="115" spans="1:5" x14ac:dyDescent="0.2">
      <c r="A115" t="s">
        <v>18</v>
      </c>
      <c r="B115" t="s">
        <v>143</v>
      </c>
      <c r="C115" t="s">
        <v>79</v>
      </c>
      <c r="D115" t="s">
        <v>109</v>
      </c>
      <c r="E115" t="s">
        <v>144</v>
      </c>
    </row>
    <row r="116" spans="1:5" x14ac:dyDescent="0.2">
      <c r="A116" t="s">
        <v>18</v>
      </c>
      <c r="B116" t="s">
        <v>145</v>
      </c>
      <c r="C116" t="s">
        <v>79</v>
      </c>
      <c r="D116" t="s">
        <v>109</v>
      </c>
      <c r="E116" t="s">
        <v>146</v>
      </c>
    </row>
    <row r="117" spans="1:5" x14ac:dyDescent="0.2">
      <c r="A117" t="s">
        <v>18</v>
      </c>
      <c r="B117" t="s">
        <v>147</v>
      </c>
      <c r="C117" t="s">
        <v>79</v>
      </c>
      <c r="D117" t="s">
        <v>109</v>
      </c>
      <c r="E117" t="s">
        <v>148</v>
      </c>
    </row>
    <row r="118" spans="1:5" x14ac:dyDescent="0.2">
      <c r="A118" t="s">
        <v>18</v>
      </c>
      <c r="B118" t="s">
        <v>149</v>
      </c>
      <c r="C118" t="s">
        <v>79</v>
      </c>
      <c r="D118" t="s">
        <v>109</v>
      </c>
      <c r="E118" t="s">
        <v>150</v>
      </c>
    </row>
    <row r="119" spans="1:5" x14ac:dyDescent="0.2">
      <c r="A119" t="s">
        <v>18</v>
      </c>
      <c r="B119" t="s">
        <v>151</v>
      </c>
      <c r="C119" t="s">
        <v>79</v>
      </c>
      <c r="D119" t="s">
        <v>109</v>
      </c>
      <c r="E119" t="s">
        <v>150</v>
      </c>
    </row>
    <row r="120" spans="1:5" x14ac:dyDescent="0.2">
      <c r="A120" t="s">
        <v>18</v>
      </c>
      <c r="B120" t="s">
        <v>152</v>
      </c>
      <c r="C120" t="s">
        <v>79</v>
      </c>
      <c r="D120" t="s">
        <v>109</v>
      </c>
      <c r="E120" t="s">
        <v>150</v>
      </c>
    </row>
    <row r="121" spans="1:5" x14ac:dyDescent="0.2">
      <c r="A121" t="s">
        <v>18</v>
      </c>
      <c r="B121" t="s">
        <v>153</v>
      </c>
      <c r="C121" t="s">
        <v>79</v>
      </c>
      <c r="D121" t="s">
        <v>109</v>
      </c>
      <c r="E121" t="s">
        <v>154</v>
      </c>
    </row>
    <row r="122" spans="1:5" x14ac:dyDescent="0.2">
      <c r="A122" t="s">
        <v>18</v>
      </c>
      <c r="B122" t="s">
        <v>155</v>
      </c>
      <c r="C122" t="s">
        <v>79</v>
      </c>
      <c r="D122" t="s">
        <v>109</v>
      </c>
      <c r="E122" t="s">
        <v>156</v>
      </c>
    </row>
    <row r="123" spans="1:5" x14ac:dyDescent="0.2">
      <c r="A123" t="s">
        <v>18</v>
      </c>
      <c r="B123" t="s">
        <v>157</v>
      </c>
      <c r="C123" t="s">
        <v>20</v>
      </c>
      <c r="D123" t="s">
        <v>73</v>
      </c>
      <c r="E123" t="s">
        <v>158</v>
      </c>
    </row>
    <row r="124" spans="1:5" x14ac:dyDescent="0.2">
      <c r="A124" t="s">
        <v>18</v>
      </c>
      <c r="B124" t="s">
        <v>159</v>
      </c>
      <c r="C124" t="s">
        <v>20</v>
      </c>
      <c r="D124" t="s">
        <v>73</v>
      </c>
      <c r="E124" t="s">
        <v>160</v>
      </c>
    </row>
    <row r="125" spans="1:5" x14ac:dyDescent="0.2">
      <c r="A125" t="s">
        <v>18</v>
      </c>
      <c r="B125" t="s">
        <v>161</v>
      </c>
      <c r="C125" t="s">
        <v>20</v>
      </c>
      <c r="D125" t="s">
        <v>73</v>
      </c>
      <c r="E125" t="s">
        <v>162</v>
      </c>
    </row>
    <row r="126" spans="1:5" x14ac:dyDescent="0.2">
      <c r="A126" t="s">
        <v>18</v>
      </c>
      <c r="B126" t="s">
        <v>163</v>
      </c>
      <c r="C126" t="s">
        <v>20</v>
      </c>
      <c r="D126" t="s">
        <v>73</v>
      </c>
      <c r="E126" t="s">
        <v>164</v>
      </c>
    </row>
    <row r="127" spans="1:5" x14ac:dyDescent="0.2">
      <c r="A127" t="s">
        <v>18</v>
      </c>
      <c r="B127" t="s">
        <v>165</v>
      </c>
      <c r="C127" t="s">
        <v>20</v>
      </c>
      <c r="D127" t="s">
        <v>73</v>
      </c>
      <c r="E127" t="s">
        <v>166</v>
      </c>
    </row>
    <row r="128" spans="1:5" x14ac:dyDescent="0.2">
      <c r="A128" t="s">
        <v>18</v>
      </c>
      <c r="B128" t="s">
        <v>167</v>
      </c>
      <c r="C128" t="s">
        <v>20</v>
      </c>
      <c r="D128" t="s">
        <v>73</v>
      </c>
      <c r="E128" t="s">
        <v>150</v>
      </c>
    </row>
    <row r="129" spans="1:5" x14ac:dyDescent="0.2">
      <c r="A129" t="s">
        <v>18</v>
      </c>
      <c r="B129" t="s">
        <v>168</v>
      </c>
      <c r="C129" t="s">
        <v>20</v>
      </c>
      <c r="D129" t="s">
        <v>73</v>
      </c>
      <c r="E129" t="s">
        <v>169</v>
      </c>
    </row>
    <row r="130" spans="1:5" x14ac:dyDescent="0.2">
      <c r="A130" t="s">
        <v>18</v>
      </c>
      <c r="B130" t="s">
        <v>170</v>
      </c>
      <c r="C130" t="s">
        <v>20</v>
      </c>
      <c r="D130" t="s">
        <v>73</v>
      </c>
      <c r="E130" t="s">
        <v>171</v>
      </c>
    </row>
    <row r="131" spans="1:5" x14ac:dyDescent="0.2">
      <c r="A131" t="s">
        <v>18</v>
      </c>
      <c r="B131" t="s">
        <v>172</v>
      </c>
      <c r="C131" t="s">
        <v>20</v>
      </c>
      <c r="D131" t="s">
        <v>71</v>
      </c>
      <c r="E131" t="s">
        <v>173</v>
      </c>
    </row>
    <row r="132" spans="1:5" x14ac:dyDescent="0.2">
      <c r="A132" t="s">
        <v>18</v>
      </c>
      <c r="B132" t="s">
        <v>174</v>
      </c>
      <c r="C132" t="s">
        <v>26</v>
      </c>
      <c r="D132" t="s">
        <v>71</v>
      </c>
      <c r="E132" t="s">
        <v>173</v>
      </c>
    </row>
    <row r="133" spans="1:5" x14ac:dyDescent="0.2">
      <c r="A133" t="s">
        <v>18</v>
      </c>
      <c r="B133" t="s">
        <v>175</v>
      </c>
      <c r="C133" t="s">
        <v>26</v>
      </c>
      <c r="D133" t="s">
        <v>71</v>
      </c>
      <c r="E133" t="s">
        <v>176</v>
      </c>
    </row>
    <row r="134" spans="1:5" x14ac:dyDescent="0.2">
      <c r="A134" t="s">
        <v>18</v>
      </c>
      <c r="B134" t="s">
        <v>177</v>
      </c>
      <c r="C134" t="s">
        <v>26</v>
      </c>
      <c r="D134" t="s">
        <v>50</v>
      </c>
      <c r="E134" t="s">
        <v>178</v>
      </c>
    </row>
    <row r="135" spans="1:5" x14ac:dyDescent="0.2">
      <c r="A135" t="s">
        <v>18</v>
      </c>
      <c r="B135" t="s">
        <v>179</v>
      </c>
      <c r="C135" t="s">
        <v>26</v>
      </c>
      <c r="D135" t="s">
        <v>50</v>
      </c>
      <c r="E135" t="s">
        <v>180</v>
      </c>
    </row>
    <row r="136" spans="1:5" x14ac:dyDescent="0.2">
      <c r="A136" t="s">
        <v>18</v>
      </c>
      <c r="B136" t="s">
        <v>181</v>
      </c>
      <c r="C136" t="s">
        <v>79</v>
      </c>
      <c r="D136" t="s">
        <v>50</v>
      </c>
      <c r="E136" t="s">
        <v>121</v>
      </c>
    </row>
    <row r="137" spans="1:5" x14ac:dyDescent="0.2">
      <c r="A137" t="s">
        <v>18</v>
      </c>
      <c r="B137" t="s">
        <v>182</v>
      </c>
      <c r="C137" t="s">
        <v>79</v>
      </c>
      <c r="D137" t="s">
        <v>50</v>
      </c>
      <c r="E137" t="s">
        <v>183</v>
      </c>
    </row>
    <row r="138" spans="1:5" x14ac:dyDescent="0.2">
      <c r="A138" t="s">
        <v>18</v>
      </c>
      <c r="B138" t="s">
        <v>184</v>
      </c>
      <c r="C138" t="s">
        <v>26</v>
      </c>
      <c r="D138" t="s">
        <v>50</v>
      </c>
      <c r="E138" t="s">
        <v>185</v>
      </c>
    </row>
    <row r="139" spans="1:5" x14ac:dyDescent="0.2">
      <c r="A139" t="s">
        <v>18</v>
      </c>
      <c r="B139" t="s">
        <v>186</v>
      </c>
      <c r="C139" t="s">
        <v>26</v>
      </c>
      <c r="D139" t="s">
        <v>50</v>
      </c>
      <c r="E139" t="s">
        <v>187</v>
      </c>
    </row>
    <row r="140" spans="1:5" x14ac:dyDescent="0.2">
      <c r="A140" t="s">
        <v>18</v>
      </c>
      <c r="B140" t="s">
        <v>188</v>
      </c>
      <c r="C140" t="s">
        <v>26</v>
      </c>
      <c r="D140" t="s">
        <v>50</v>
      </c>
      <c r="E140" t="s">
        <v>189</v>
      </c>
    </row>
    <row r="141" spans="1:5" x14ac:dyDescent="0.2">
      <c r="A141" t="s">
        <v>18</v>
      </c>
      <c r="B141" t="s">
        <v>190</v>
      </c>
      <c r="C141" t="s">
        <v>26</v>
      </c>
      <c r="D141" t="s">
        <v>50</v>
      </c>
      <c r="E141" t="s">
        <v>189</v>
      </c>
    </row>
    <row r="142" spans="1:5" x14ac:dyDescent="0.2">
      <c r="A142" t="s">
        <v>18</v>
      </c>
      <c r="B142" t="s">
        <v>191</v>
      </c>
      <c r="C142" t="s">
        <v>26</v>
      </c>
      <c r="D142" t="s">
        <v>50</v>
      </c>
      <c r="E142" t="s">
        <v>192</v>
      </c>
    </row>
    <row r="143" spans="1:5" x14ac:dyDescent="0.2">
      <c r="A143" t="s">
        <v>18</v>
      </c>
      <c r="B143" t="s">
        <v>193</v>
      </c>
      <c r="C143" t="s">
        <v>26</v>
      </c>
      <c r="D143" t="s">
        <v>50</v>
      </c>
      <c r="E143" t="s">
        <v>194</v>
      </c>
    </row>
    <row r="144" spans="1:5" x14ac:dyDescent="0.2">
      <c r="A144" t="s">
        <v>18</v>
      </c>
      <c r="B144" t="s">
        <v>195</v>
      </c>
      <c r="C144" t="s">
        <v>26</v>
      </c>
      <c r="D144" t="s">
        <v>50</v>
      </c>
      <c r="E144" t="s">
        <v>196</v>
      </c>
    </row>
    <row r="145" spans="1:6" x14ac:dyDescent="0.2">
      <c r="A145" t="s">
        <v>18</v>
      </c>
      <c r="B145" t="s">
        <v>197</v>
      </c>
      <c r="C145" t="s">
        <v>79</v>
      </c>
      <c r="D145" t="s">
        <v>50</v>
      </c>
      <c r="E145" t="s">
        <v>154</v>
      </c>
    </row>
    <row r="146" spans="1:6" x14ac:dyDescent="0.2">
      <c r="A146" t="s">
        <v>18</v>
      </c>
      <c r="B146" t="s">
        <v>198</v>
      </c>
      <c r="C146" t="s">
        <v>79</v>
      </c>
      <c r="D146" t="s">
        <v>199</v>
      </c>
      <c r="E146" t="s">
        <v>200</v>
      </c>
    </row>
    <row r="147" spans="1:6" x14ac:dyDescent="0.2">
      <c r="A147" t="s">
        <v>18</v>
      </c>
      <c r="B147" t="s">
        <v>201</v>
      </c>
      <c r="C147" t="s">
        <v>79</v>
      </c>
      <c r="D147" t="s">
        <v>199</v>
      </c>
      <c r="E147" t="s">
        <v>202</v>
      </c>
    </row>
    <row r="148" spans="1:6" x14ac:dyDescent="0.2">
      <c r="A148" t="s">
        <v>18</v>
      </c>
      <c r="B148" t="s">
        <v>203</v>
      </c>
      <c r="C148" t="s">
        <v>79</v>
      </c>
      <c r="D148" t="s">
        <v>199</v>
      </c>
      <c r="E148" t="s">
        <v>204</v>
      </c>
    </row>
    <row r="149" spans="1:6" x14ac:dyDescent="0.2">
      <c r="A149" t="s">
        <v>18</v>
      </c>
      <c r="B149" t="s">
        <v>205</v>
      </c>
      <c r="C149" t="s">
        <v>79</v>
      </c>
      <c r="D149" t="s">
        <v>199</v>
      </c>
      <c r="E149" t="s">
        <v>204</v>
      </c>
    </row>
    <row r="150" spans="1:6" x14ac:dyDescent="0.2">
      <c r="A150" t="s">
        <v>18</v>
      </c>
      <c r="B150" t="s">
        <v>206</v>
      </c>
      <c r="C150" t="s">
        <v>79</v>
      </c>
      <c r="D150" t="s">
        <v>199</v>
      </c>
      <c r="E150" t="s">
        <v>207</v>
      </c>
      <c r="F150" t="s">
        <v>208</v>
      </c>
    </row>
    <row r="151" spans="1:6" x14ac:dyDescent="0.2">
      <c r="A151" t="s">
        <v>18</v>
      </c>
      <c r="B151" t="s">
        <v>209</v>
      </c>
      <c r="C151" t="s">
        <v>79</v>
      </c>
      <c r="D151" t="s">
        <v>199</v>
      </c>
      <c r="E151" t="s">
        <v>210</v>
      </c>
    </row>
    <row r="152" spans="1:6" x14ac:dyDescent="0.2">
      <c r="A152" t="s">
        <v>18</v>
      </c>
      <c r="B152" t="s">
        <v>211</v>
      </c>
      <c r="C152" t="s">
        <v>79</v>
      </c>
      <c r="D152" t="s">
        <v>199</v>
      </c>
      <c r="E152" t="s">
        <v>212</v>
      </c>
    </row>
    <row r="153" spans="1:6" x14ac:dyDescent="0.2">
      <c r="A153" t="s">
        <v>18</v>
      </c>
      <c r="B153" t="s">
        <v>213</v>
      </c>
      <c r="C153" t="s">
        <v>79</v>
      </c>
      <c r="D153" t="s">
        <v>199</v>
      </c>
      <c r="E153" t="s">
        <v>214</v>
      </c>
    </row>
    <row r="154" spans="1:6" x14ac:dyDescent="0.2">
      <c r="A154" t="s">
        <v>18</v>
      </c>
      <c r="B154" t="s">
        <v>215</v>
      </c>
      <c r="C154" t="s">
        <v>79</v>
      </c>
      <c r="D154" t="s">
        <v>199</v>
      </c>
      <c r="E154" t="s">
        <v>216</v>
      </c>
    </row>
    <row r="155" spans="1:6" x14ac:dyDescent="0.2">
      <c r="A155" t="s">
        <v>18</v>
      </c>
      <c r="B155" t="s">
        <v>217</v>
      </c>
      <c r="C155" t="s">
        <v>20</v>
      </c>
      <c r="D155" t="s">
        <v>21</v>
      </c>
      <c r="E155" t="s">
        <v>185</v>
      </c>
    </row>
    <row r="156" spans="1:6" x14ac:dyDescent="0.2">
      <c r="A156" t="s">
        <v>18</v>
      </c>
      <c r="B156" t="s">
        <v>218</v>
      </c>
      <c r="C156" t="s">
        <v>79</v>
      </c>
      <c r="D156" t="s">
        <v>199</v>
      </c>
      <c r="E156" t="s">
        <v>219</v>
      </c>
    </row>
    <row r="157" spans="1:6" x14ac:dyDescent="0.2">
      <c r="A157" t="s">
        <v>18</v>
      </c>
      <c r="B157" t="s">
        <v>220</v>
      </c>
      <c r="C157" t="s">
        <v>79</v>
      </c>
      <c r="D157" t="s">
        <v>199</v>
      </c>
      <c r="E157" t="s">
        <v>219</v>
      </c>
    </row>
    <row r="158" spans="1:6" x14ac:dyDescent="0.2">
      <c r="A158" t="s">
        <v>18</v>
      </c>
      <c r="B158" t="s">
        <v>221</v>
      </c>
      <c r="C158" t="s">
        <v>79</v>
      </c>
      <c r="D158" t="s">
        <v>199</v>
      </c>
      <c r="E158" t="s">
        <v>219</v>
      </c>
    </row>
    <row r="159" spans="1:6" x14ac:dyDescent="0.2">
      <c r="A159" t="s">
        <v>18</v>
      </c>
      <c r="B159" t="s">
        <v>222</v>
      </c>
      <c r="C159" t="s">
        <v>79</v>
      </c>
      <c r="D159" t="s">
        <v>199</v>
      </c>
      <c r="E159" t="s">
        <v>223</v>
      </c>
    </row>
    <row r="160" spans="1:6" x14ac:dyDescent="0.2">
      <c r="A160" t="s">
        <v>18</v>
      </c>
      <c r="B160" t="s">
        <v>224</v>
      </c>
      <c r="C160" t="s">
        <v>79</v>
      </c>
      <c r="D160" t="s">
        <v>199</v>
      </c>
      <c r="E160" t="s">
        <v>225</v>
      </c>
      <c r="F160" t="s">
        <v>208</v>
      </c>
    </row>
    <row r="161" spans="1:7" x14ac:dyDescent="0.2">
      <c r="A161" t="s">
        <v>18</v>
      </c>
      <c r="B161" t="s">
        <v>226</v>
      </c>
      <c r="C161" t="s">
        <v>79</v>
      </c>
      <c r="D161" t="s">
        <v>199</v>
      </c>
      <c r="E161" t="s">
        <v>227</v>
      </c>
      <c r="F161" t="s">
        <v>228</v>
      </c>
      <c r="G161" t="s">
        <v>229</v>
      </c>
    </row>
    <row r="162" spans="1:7" x14ac:dyDescent="0.2">
      <c r="A162" t="s">
        <v>18</v>
      </c>
      <c r="B162" t="s">
        <v>230</v>
      </c>
      <c r="C162" t="s">
        <v>79</v>
      </c>
      <c r="D162" t="s">
        <v>199</v>
      </c>
      <c r="E162" t="s">
        <v>231</v>
      </c>
      <c r="F162" t="s">
        <v>208</v>
      </c>
    </row>
    <row r="163" spans="1:7" x14ac:dyDescent="0.2">
      <c r="A163" t="s">
        <v>18</v>
      </c>
      <c r="B163" t="s">
        <v>232</v>
      </c>
      <c r="C163" t="s">
        <v>79</v>
      </c>
      <c r="D163" t="s">
        <v>199</v>
      </c>
      <c r="E163" t="s">
        <v>233</v>
      </c>
      <c r="F163" t="s">
        <v>234</v>
      </c>
    </row>
    <row r="164" spans="1:7" x14ac:dyDescent="0.2">
      <c r="A164" t="s">
        <v>18</v>
      </c>
      <c r="B164" t="s">
        <v>235</v>
      </c>
      <c r="C164" t="s">
        <v>79</v>
      </c>
      <c r="D164" t="s">
        <v>199</v>
      </c>
      <c r="E164" t="s">
        <v>236</v>
      </c>
    </row>
    <row r="165" spans="1:7" x14ac:dyDescent="0.2">
      <c r="A165" t="s">
        <v>18</v>
      </c>
      <c r="B165" t="s">
        <v>237</v>
      </c>
      <c r="C165" t="s">
        <v>79</v>
      </c>
      <c r="D165" t="s">
        <v>199</v>
      </c>
      <c r="E165" t="s">
        <v>238</v>
      </c>
    </row>
    <row r="166" spans="1:7" x14ac:dyDescent="0.2">
      <c r="A166" t="s">
        <v>18</v>
      </c>
      <c r="B166" t="s">
        <v>239</v>
      </c>
      <c r="C166" t="s">
        <v>79</v>
      </c>
      <c r="D166" t="s">
        <v>199</v>
      </c>
      <c r="E166" t="s">
        <v>240</v>
      </c>
    </row>
    <row r="167" spans="1:7" x14ac:dyDescent="0.2">
      <c r="A167" t="s">
        <v>18</v>
      </c>
      <c r="B167" t="s">
        <v>241</v>
      </c>
      <c r="C167" t="s">
        <v>79</v>
      </c>
      <c r="D167" t="s">
        <v>199</v>
      </c>
      <c r="E167" t="s">
        <v>240</v>
      </c>
    </row>
    <row r="168" spans="1:7" x14ac:dyDescent="0.2">
      <c r="A168" t="s">
        <v>18</v>
      </c>
      <c r="B168" t="s">
        <v>242</v>
      </c>
      <c r="C168" t="s">
        <v>79</v>
      </c>
      <c r="D168" t="s">
        <v>199</v>
      </c>
      <c r="E168" t="s">
        <v>243</v>
      </c>
    </row>
    <row r="169" spans="1:7" x14ac:dyDescent="0.2">
      <c r="A169" t="s">
        <v>18</v>
      </c>
      <c r="B169" t="s">
        <v>244</v>
      </c>
      <c r="C169" t="s">
        <v>79</v>
      </c>
      <c r="D169" t="s">
        <v>199</v>
      </c>
      <c r="E169" t="s">
        <v>156</v>
      </c>
    </row>
    <row r="170" spans="1:7" x14ac:dyDescent="0.2">
      <c r="A170" t="s">
        <v>18</v>
      </c>
      <c r="B170" t="s">
        <v>245</v>
      </c>
      <c r="C170" t="s">
        <v>79</v>
      </c>
      <c r="D170" t="s">
        <v>246</v>
      </c>
      <c r="E170" t="s">
        <v>247</v>
      </c>
    </row>
    <row r="171" spans="1:7" x14ac:dyDescent="0.2">
      <c r="A171" t="s">
        <v>18</v>
      </c>
      <c r="B171" t="s">
        <v>248</v>
      </c>
      <c r="C171" t="s">
        <v>249</v>
      </c>
      <c r="D171" t="s">
        <v>73</v>
      </c>
      <c r="E171" t="s">
        <v>169</v>
      </c>
    </row>
    <row r="172" spans="1:7" x14ac:dyDescent="0.2">
      <c r="A172" t="s">
        <v>18</v>
      </c>
      <c r="B172" t="s">
        <v>250</v>
      </c>
      <c r="C172" t="s">
        <v>20</v>
      </c>
      <c r="D172" t="s">
        <v>73</v>
      </c>
      <c r="E172" t="s">
        <v>169</v>
      </c>
    </row>
    <row r="173" spans="1:7" x14ac:dyDescent="0.2">
      <c r="A173" t="s">
        <v>18</v>
      </c>
      <c r="B173" t="s">
        <v>251</v>
      </c>
      <c r="C173" t="s">
        <v>26</v>
      </c>
      <c r="D173" t="s">
        <v>50</v>
      </c>
      <c r="E173" t="s">
        <v>189</v>
      </c>
    </row>
    <row r="174" spans="1:7" x14ac:dyDescent="0.2">
      <c r="A174" t="s">
        <v>18</v>
      </c>
      <c r="B174" t="s">
        <v>252</v>
      </c>
      <c r="C174" t="s">
        <v>26</v>
      </c>
      <c r="D174" t="s">
        <v>50</v>
      </c>
      <c r="E174" t="s">
        <v>253</v>
      </c>
    </row>
    <row r="175" spans="1:7" x14ac:dyDescent="0.2">
      <c r="A175" t="s">
        <v>18</v>
      </c>
      <c r="B175" t="s">
        <v>254</v>
      </c>
      <c r="C175" t="s">
        <v>20</v>
      </c>
      <c r="D175" t="s">
        <v>73</v>
      </c>
      <c r="E175" t="s">
        <v>255</v>
      </c>
    </row>
    <row r="176" spans="1:7" x14ac:dyDescent="0.2">
      <c r="A176" t="s">
        <v>18</v>
      </c>
      <c r="B176" t="s">
        <v>256</v>
      </c>
      <c r="C176" t="s">
        <v>20</v>
      </c>
      <c r="D176" t="s">
        <v>21</v>
      </c>
      <c r="E176" t="s">
        <v>257</v>
      </c>
    </row>
    <row r="177" spans="1:5" x14ac:dyDescent="0.2">
      <c r="A177" t="s">
        <v>18</v>
      </c>
      <c r="B177" t="s">
        <v>258</v>
      </c>
      <c r="C177" t="s">
        <v>26</v>
      </c>
      <c r="D177" t="s">
        <v>259</v>
      </c>
      <c r="E177" t="s">
        <v>260</v>
      </c>
    </row>
    <row r="178" spans="1:5" x14ac:dyDescent="0.2">
      <c r="A178" t="s">
        <v>18</v>
      </c>
      <c r="B178" t="s">
        <v>261</v>
      </c>
      <c r="C178" t="s">
        <v>26</v>
      </c>
      <c r="D178" t="s">
        <v>262</v>
      </c>
      <c r="E178" t="s">
        <v>121</v>
      </c>
    </row>
    <row r="179" spans="1:5" x14ac:dyDescent="0.2">
      <c r="A179" t="s">
        <v>18</v>
      </c>
      <c r="B179" t="s">
        <v>263</v>
      </c>
      <c r="C179" t="s">
        <v>26</v>
      </c>
      <c r="D179" t="s">
        <v>262</v>
      </c>
      <c r="E179" t="s">
        <v>187</v>
      </c>
    </row>
    <row r="180" spans="1:5" x14ac:dyDescent="0.2">
      <c r="A180" t="s">
        <v>18</v>
      </c>
      <c r="B180" t="s">
        <v>264</v>
      </c>
      <c r="C180" t="s">
        <v>26</v>
      </c>
      <c r="D180" t="s">
        <v>262</v>
      </c>
      <c r="E180" t="s">
        <v>265</v>
      </c>
    </row>
    <row r="181" spans="1:5" x14ac:dyDescent="0.2">
      <c r="A181" t="s">
        <v>18</v>
      </c>
      <c r="B181" t="s">
        <v>266</v>
      </c>
      <c r="C181" t="s">
        <v>26</v>
      </c>
      <c r="D181" t="s">
        <v>262</v>
      </c>
      <c r="E181" t="s">
        <v>267</v>
      </c>
    </row>
    <row r="182" spans="1:5" x14ac:dyDescent="0.2">
      <c r="A182" t="s">
        <v>18</v>
      </c>
      <c r="B182" t="s">
        <v>268</v>
      </c>
      <c r="C182" t="s">
        <v>26</v>
      </c>
      <c r="D182" t="s">
        <v>269</v>
      </c>
      <c r="E182" t="s">
        <v>270</v>
      </c>
    </row>
    <row r="183" spans="1:5" x14ac:dyDescent="0.2">
      <c r="A183" t="s">
        <v>18</v>
      </c>
      <c r="B183" t="s">
        <v>271</v>
      </c>
      <c r="C183" t="s">
        <v>26</v>
      </c>
      <c r="D183" t="s">
        <v>272</v>
      </c>
      <c r="E183" t="s">
        <v>273</v>
      </c>
    </row>
    <row r="184" spans="1:5" x14ac:dyDescent="0.2">
      <c r="A184" t="s">
        <v>18</v>
      </c>
      <c r="B184" t="s">
        <v>274</v>
      </c>
      <c r="C184" t="s">
        <v>26</v>
      </c>
      <c r="D184" t="s">
        <v>272</v>
      </c>
      <c r="E184" t="s">
        <v>275</v>
      </c>
    </row>
    <row r="185" spans="1:5" x14ac:dyDescent="0.2">
      <c r="A185" t="s">
        <v>18</v>
      </c>
      <c r="B185" t="s">
        <v>276</v>
      </c>
      <c r="C185" t="s">
        <v>26</v>
      </c>
      <c r="D185" t="s">
        <v>272</v>
      </c>
      <c r="E185" t="s">
        <v>277</v>
      </c>
    </row>
    <row r="186" spans="1:5" x14ac:dyDescent="0.2">
      <c r="A186" t="s">
        <v>18</v>
      </c>
      <c r="B186" t="s">
        <v>278</v>
      </c>
      <c r="C186" t="s">
        <v>26</v>
      </c>
      <c r="D186" t="s">
        <v>272</v>
      </c>
      <c r="E186" t="s">
        <v>279</v>
      </c>
    </row>
    <row r="187" spans="1:5" x14ac:dyDescent="0.2">
      <c r="A187" t="s">
        <v>18</v>
      </c>
      <c r="B187" t="s">
        <v>280</v>
      </c>
      <c r="C187" t="s">
        <v>26</v>
      </c>
      <c r="D187" t="s">
        <v>281</v>
      </c>
      <c r="E187" t="s">
        <v>282</v>
      </c>
    </row>
    <row r="188" spans="1:5" x14ac:dyDescent="0.2">
      <c r="A188" t="s">
        <v>18</v>
      </c>
      <c r="B188" t="s">
        <v>283</v>
      </c>
      <c r="C188" t="s">
        <v>20</v>
      </c>
      <c r="D188" t="s">
        <v>21</v>
      </c>
      <c r="E188" t="s">
        <v>284</v>
      </c>
    </row>
    <row r="189" spans="1:5" x14ac:dyDescent="0.2">
      <c r="A189" t="s">
        <v>18</v>
      </c>
      <c r="B189" t="s">
        <v>285</v>
      </c>
      <c r="C189" t="s">
        <v>26</v>
      </c>
      <c r="D189" t="s">
        <v>262</v>
      </c>
      <c r="E189" t="s">
        <v>286</v>
      </c>
    </row>
    <row r="190" spans="1:5" x14ac:dyDescent="0.2">
      <c r="A190" t="s">
        <v>18</v>
      </c>
      <c r="B190" t="s">
        <v>287</v>
      </c>
      <c r="C190" t="s">
        <v>20</v>
      </c>
      <c r="D190" t="s">
        <v>21</v>
      </c>
      <c r="E190" t="s">
        <v>288</v>
      </c>
    </row>
    <row r="191" spans="1:5" x14ac:dyDescent="0.2">
      <c r="A191" t="s">
        <v>18</v>
      </c>
      <c r="B191" t="s">
        <v>289</v>
      </c>
      <c r="C191" t="s">
        <v>79</v>
      </c>
      <c r="D191" t="s">
        <v>80</v>
      </c>
      <c r="E191" t="s">
        <v>290</v>
      </c>
    </row>
    <row r="192" spans="1:5" x14ac:dyDescent="0.2">
      <c r="A192" t="s">
        <v>18</v>
      </c>
      <c r="B192" t="s">
        <v>291</v>
      </c>
      <c r="C192" t="s">
        <v>79</v>
      </c>
      <c r="D192" t="s">
        <v>80</v>
      </c>
      <c r="E192" t="s">
        <v>292</v>
      </c>
    </row>
    <row r="193" spans="1:5" x14ac:dyDescent="0.2">
      <c r="A193" t="s">
        <v>18</v>
      </c>
      <c r="B193" t="s">
        <v>293</v>
      </c>
      <c r="C193" t="s">
        <v>79</v>
      </c>
      <c r="D193" t="s">
        <v>80</v>
      </c>
      <c r="E193" t="s">
        <v>158</v>
      </c>
    </row>
    <row r="194" spans="1:5" x14ac:dyDescent="0.2">
      <c r="A194" t="s">
        <v>18</v>
      </c>
      <c r="B194" t="s">
        <v>294</v>
      </c>
      <c r="C194" t="s">
        <v>79</v>
      </c>
      <c r="D194" t="s">
        <v>80</v>
      </c>
      <c r="E194" t="s">
        <v>295</v>
      </c>
    </row>
    <row r="195" spans="1:5" x14ac:dyDescent="0.2">
      <c r="A195" t="s">
        <v>18</v>
      </c>
      <c r="B195" t="s">
        <v>296</v>
      </c>
      <c r="C195" t="s">
        <v>79</v>
      </c>
      <c r="D195" t="s">
        <v>80</v>
      </c>
      <c r="E195" t="s">
        <v>297</v>
      </c>
    </row>
    <row r="196" spans="1:5" x14ac:dyDescent="0.2">
      <c r="A196" t="s">
        <v>18</v>
      </c>
      <c r="B196" t="s">
        <v>298</v>
      </c>
      <c r="C196" t="s">
        <v>79</v>
      </c>
      <c r="D196" t="s">
        <v>80</v>
      </c>
      <c r="E196" t="s">
        <v>299</v>
      </c>
    </row>
    <row r="197" spans="1:5" x14ac:dyDescent="0.2">
      <c r="A197" t="s">
        <v>18</v>
      </c>
      <c r="B197" t="s">
        <v>300</v>
      </c>
      <c r="C197" t="s">
        <v>26</v>
      </c>
      <c r="D197" t="s">
        <v>80</v>
      </c>
      <c r="E197" t="s">
        <v>301</v>
      </c>
    </row>
    <row r="198" spans="1:5" x14ac:dyDescent="0.2">
      <c r="A198" t="s">
        <v>18</v>
      </c>
      <c r="B198" t="s">
        <v>302</v>
      </c>
      <c r="C198" t="s">
        <v>79</v>
      </c>
      <c r="D198" t="s">
        <v>80</v>
      </c>
      <c r="E198" t="s">
        <v>301</v>
      </c>
    </row>
    <row r="199" spans="1:5" x14ac:dyDescent="0.2">
      <c r="A199" t="s">
        <v>18</v>
      </c>
      <c r="B199" t="s">
        <v>303</v>
      </c>
      <c r="C199" t="s">
        <v>79</v>
      </c>
      <c r="D199" t="s">
        <v>80</v>
      </c>
      <c r="E199" t="s">
        <v>304</v>
      </c>
    </row>
    <row r="200" spans="1:5" x14ac:dyDescent="0.2">
      <c r="A200" t="s">
        <v>18</v>
      </c>
      <c r="B200" t="s">
        <v>305</v>
      </c>
      <c r="C200" t="s">
        <v>79</v>
      </c>
      <c r="D200" t="s">
        <v>80</v>
      </c>
      <c r="E200" t="s">
        <v>306</v>
      </c>
    </row>
    <row r="201" spans="1:5" x14ac:dyDescent="0.2">
      <c r="A201" t="s">
        <v>18</v>
      </c>
      <c r="B201" t="s">
        <v>307</v>
      </c>
      <c r="C201" t="s">
        <v>79</v>
      </c>
      <c r="D201" t="s">
        <v>80</v>
      </c>
      <c r="E201" t="s">
        <v>308</v>
      </c>
    </row>
    <row r="202" spans="1:5" x14ac:dyDescent="0.2">
      <c r="A202" t="s">
        <v>18</v>
      </c>
      <c r="B202" t="s">
        <v>309</v>
      </c>
      <c r="C202" t="s">
        <v>79</v>
      </c>
      <c r="D202" t="s">
        <v>80</v>
      </c>
      <c r="E202" t="s">
        <v>308</v>
      </c>
    </row>
    <row r="203" spans="1:5" x14ac:dyDescent="0.2">
      <c r="A203" t="s">
        <v>18</v>
      </c>
      <c r="B203" t="s">
        <v>310</v>
      </c>
      <c r="C203" t="s">
        <v>79</v>
      </c>
      <c r="D203" t="s">
        <v>80</v>
      </c>
      <c r="E203" t="s">
        <v>311</v>
      </c>
    </row>
    <row r="204" spans="1:5" x14ac:dyDescent="0.2">
      <c r="A204" t="s">
        <v>18</v>
      </c>
      <c r="B204" t="s">
        <v>312</v>
      </c>
      <c r="C204" t="s">
        <v>79</v>
      </c>
      <c r="D204" t="s">
        <v>80</v>
      </c>
      <c r="E204" t="s">
        <v>313</v>
      </c>
    </row>
    <row r="205" spans="1:5" x14ac:dyDescent="0.2">
      <c r="A205" t="s">
        <v>18</v>
      </c>
      <c r="B205" t="s">
        <v>314</v>
      </c>
      <c r="C205" t="s">
        <v>79</v>
      </c>
      <c r="D205" t="s">
        <v>80</v>
      </c>
      <c r="E205" t="s">
        <v>315</v>
      </c>
    </row>
    <row r="206" spans="1:5" x14ac:dyDescent="0.2">
      <c r="A206" t="s">
        <v>18</v>
      </c>
      <c r="B206" t="s">
        <v>316</v>
      </c>
      <c r="C206" t="s">
        <v>79</v>
      </c>
      <c r="D206" t="s">
        <v>80</v>
      </c>
      <c r="E206" t="s">
        <v>315</v>
      </c>
    </row>
    <row r="207" spans="1:5" x14ac:dyDescent="0.2">
      <c r="A207" t="s">
        <v>18</v>
      </c>
      <c r="B207" t="s">
        <v>317</v>
      </c>
      <c r="C207" t="s">
        <v>79</v>
      </c>
      <c r="D207" t="s">
        <v>80</v>
      </c>
      <c r="E207" t="s">
        <v>315</v>
      </c>
    </row>
    <row r="208" spans="1:5" x14ac:dyDescent="0.2">
      <c r="A208" t="s">
        <v>18</v>
      </c>
      <c r="B208" t="s">
        <v>318</v>
      </c>
      <c r="C208" t="s">
        <v>79</v>
      </c>
      <c r="D208" t="s">
        <v>80</v>
      </c>
      <c r="E208" t="s">
        <v>315</v>
      </c>
    </row>
    <row r="209" spans="1:5" x14ac:dyDescent="0.2">
      <c r="A209" t="s">
        <v>18</v>
      </c>
      <c r="B209" t="s">
        <v>319</v>
      </c>
      <c r="C209" t="s">
        <v>79</v>
      </c>
      <c r="D209" t="s">
        <v>80</v>
      </c>
      <c r="E209" t="s">
        <v>320</v>
      </c>
    </row>
    <row r="210" spans="1:5" x14ac:dyDescent="0.2">
      <c r="A210" t="s">
        <v>18</v>
      </c>
      <c r="B210" t="s">
        <v>321</v>
      </c>
      <c r="C210" t="s">
        <v>79</v>
      </c>
      <c r="D210" t="s">
        <v>80</v>
      </c>
      <c r="E210" t="s">
        <v>320</v>
      </c>
    </row>
    <row r="211" spans="1:5" x14ac:dyDescent="0.2">
      <c r="A211" t="s">
        <v>18</v>
      </c>
      <c r="B211" t="s">
        <v>322</v>
      </c>
      <c r="C211" t="s">
        <v>79</v>
      </c>
      <c r="D211" t="s">
        <v>80</v>
      </c>
      <c r="E211" t="s">
        <v>323</v>
      </c>
    </row>
    <row r="212" spans="1:5" x14ac:dyDescent="0.2">
      <c r="A212" t="s">
        <v>18</v>
      </c>
      <c r="B212" t="s">
        <v>324</v>
      </c>
      <c r="C212" t="s">
        <v>79</v>
      </c>
      <c r="D212" t="s">
        <v>80</v>
      </c>
      <c r="E212" t="s">
        <v>323</v>
      </c>
    </row>
    <row r="213" spans="1:5" x14ac:dyDescent="0.2">
      <c r="A213" t="s">
        <v>18</v>
      </c>
      <c r="B213" t="s">
        <v>325</v>
      </c>
      <c r="C213" t="s">
        <v>79</v>
      </c>
      <c r="D213" t="s">
        <v>80</v>
      </c>
      <c r="E213" t="s">
        <v>326</v>
      </c>
    </row>
    <row r="214" spans="1:5" x14ac:dyDescent="0.2">
      <c r="A214" t="s">
        <v>18</v>
      </c>
      <c r="B214" t="s">
        <v>327</v>
      </c>
      <c r="C214" t="s">
        <v>79</v>
      </c>
      <c r="D214" t="s">
        <v>80</v>
      </c>
      <c r="E214" t="s">
        <v>328</v>
      </c>
    </row>
    <row r="215" spans="1:5" x14ac:dyDescent="0.2">
      <c r="A215" t="s">
        <v>18</v>
      </c>
      <c r="B215" t="s">
        <v>329</v>
      </c>
      <c r="C215" t="s">
        <v>79</v>
      </c>
      <c r="D215" t="s">
        <v>80</v>
      </c>
      <c r="E215" t="s">
        <v>328</v>
      </c>
    </row>
    <row r="216" spans="1:5" x14ac:dyDescent="0.2">
      <c r="A216" t="s">
        <v>18</v>
      </c>
      <c r="B216" t="s">
        <v>330</v>
      </c>
      <c r="C216" t="s">
        <v>79</v>
      </c>
      <c r="D216" t="s">
        <v>80</v>
      </c>
      <c r="E216" t="s">
        <v>331</v>
      </c>
    </row>
    <row r="217" spans="1:5" x14ac:dyDescent="0.2">
      <c r="A217" t="s">
        <v>18</v>
      </c>
      <c r="B217" t="s">
        <v>332</v>
      </c>
      <c r="C217" t="s">
        <v>79</v>
      </c>
      <c r="D217" t="s">
        <v>80</v>
      </c>
      <c r="E217" t="s">
        <v>331</v>
      </c>
    </row>
    <row r="218" spans="1:5" x14ac:dyDescent="0.2">
      <c r="A218" t="s">
        <v>18</v>
      </c>
      <c r="B218" t="s">
        <v>333</v>
      </c>
      <c r="C218" t="s">
        <v>79</v>
      </c>
      <c r="D218" t="s">
        <v>80</v>
      </c>
      <c r="E218" t="s">
        <v>334</v>
      </c>
    </row>
    <row r="219" spans="1:5" x14ac:dyDescent="0.2">
      <c r="A219" t="s">
        <v>18</v>
      </c>
      <c r="B219" t="s">
        <v>335</v>
      </c>
      <c r="C219" t="s">
        <v>79</v>
      </c>
      <c r="D219" t="s">
        <v>80</v>
      </c>
      <c r="E219" t="s">
        <v>336</v>
      </c>
    </row>
    <row r="220" spans="1:5" x14ac:dyDescent="0.2">
      <c r="A220" t="s">
        <v>18</v>
      </c>
      <c r="B220" t="s">
        <v>337</v>
      </c>
      <c r="C220" t="s">
        <v>79</v>
      </c>
      <c r="D220" t="s">
        <v>80</v>
      </c>
      <c r="E220" t="s">
        <v>338</v>
      </c>
    </row>
    <row r="221" spans="1:5" x14ac:dyDescent="0.2">
      <c r="A221" t="s">
        <v>18</v>
      </c>
      <c r="B221" t="s">
        <v>339</v>
      </c>
      <c r="C221" t="s">
        <v>79</v>
      </c>
      <c r="D221" t="s">
        <v>80</v>
      </c>
      <c r="E221" t="s">
        <v>340</v>
      </c>
    </row>
    <row r="222" spans="1:5" x14ac:dyDescent="0.2">
      <c r="A222" t="s">
        <v>18</v>
      </c>
      <c r="B222" t="s">
        <v>341</v>
      </c>
      <c r="C222" t="s">
        <v>79</v>
      </c>
      <c r="D222" t="s">
        <v>80</v>
      </c>
      <c r="E222" t="s">
        <v>342</v>
      </c>
    </row>
    <row r="223" spans="1:5" x14ac:dyDescent="0.2">
      <c r="A223" t="s">
        <v>18</v>
      </c>
      <c r="B223" t="s">
        <v>343</v>
      </c>
      <c r="C223" t="s">
        <v>79</v>
      </c>
      <c r="D223" t="s">
        <v>80</v>
      </c>
      <c r="E223" t="s">
        <v>342</v>
      </c>
    </row>
    <row r="224" spans="1:5" x14ac:dyDescent="0.2">
      <c r="A224" t="s">
        <v>18</v>
      </c>
      <c r="B224" t="s">
        <v>344</v>
      </c>
      <c r="C224" t="s">
        <v>79</v>
      </c>
      <c r="D224" t="s">
        <v>80</v>
      </c>
      <c r="E224" t="s">
        <v>342</v>
      </c>
    </row>
    <row r="225" spans="1:6" x14ac:dyDescent="0.2">
      <c r="A225" t="s">
        <v>18</v>
      </c>
      <c r="B225" t="s">
        <v>345</v>
      </c>
      <c r="C225" t="s">
        <v>79</v>
      </c>
      <c r="D225" t="s">
        <v>80</v>
      </c>
      <c r="E225" t="s">
        <v>342</v>
      </c>
    </row>
    <row r="226" spans="1:6" x14ac:dyDescent="0.2">
      <c r="A226" t="s">
        <v>18</v>
      </c>
      <c r="B226" t="s">
        <v>346</v>
      </c>
      <c r="C226" t="s">
        <v>79</v>
      </c>
      <c r="D226" t="s">
        <v>80</v>
      </c>
      <c r="E226" t="s">
        <v>342</v>
      </c>
    </row>
    <row r="227" spans="1:6" x14ac:dyDescent="0.2">
      <c r="A227" t="s">
        <v>18</v>
      </c>
      <c r="B227" t="s">
        <v>347</v>
      </c>
      <c r="C227" t="s">
        <v>79</v>
      </c>
      <c r="D227" t="s">
        <v>80</v>
      </c>
      <c r="E227" t="s">
        <v>342</v>
      </c>
    </row>
    <row r="228" spans="1:6" x14ac:dyDescent="0.2">
      <c r="A228" t="s">
        <v>18</v>
      </c>
      <c r="B228" t="s">
        <v>348</v>
      </c>
      <c r="C228" t="s">
        <v>79</v>
      </c>
      <c r="D228" t="s">
        <v>80</v>
      </c>
      <c r="E228" t="s">
        <v>342</v>
      </c>
    </row>
    <row r="229" spans="1:6" x14ac:dyDescent="0.2">
      <c r="A229" t="s">
        <v>18</v>
      </c>
      <c r="B229" t="s">
        <v>349</v>
      </c>
      <c r="C229" t="s">
        <v>79</v>
      </c>
      <c r="D229" t="s">
        <v>80</v>
      </c>
      <c r="E229" t="s">
        <v>350</v>
      </c>
    </row>
    <row r="230" spans="1:6" x14ac:dyDescent="0.2">
      <c r="A230" t="s">
        <v>18</v>
      </c>
      <c r="B230" t="s">
        <v>351</v>
      </c>
      <c r="C230" t="s">
        <v>79</v>
      </c>
      <c r="D230" t="s">
        <v>80</v>
      </c>
      <c r="E230" t="s">
        <v>342</v>
      </c>
    </row>
    <row r="231" spans="1:6" x14ac:dyDescent="0.2">
      <c r="A231" t="s">
        <v>18</v>
      </c>
      <c r="B231" t="s">
        <v>352</v>
      </c>
      <c r="C231" t="s">
        <v>79</v>
      </c>
      <c r="D231" t="s">
        <v>80</v>
      </c>
      <c r="E231" t="s">
        <v>257</v>
      </c>
    </row>
    <row r="232" spans="1:6" x14ac:dyDescent="0.2">
      <c r="A232" t="s">
        <v>18</v>
      </c>
      <c r="B232" t="s">
        <v>353</v>
      </c>
      <c r="C232" t="s">
        <v>79</v>
      </c>
      <c r="D232" t="s">
        <v>80</v>
      </c>
      <c r="E232" t="s">
        <v>225</v>
      </c>
    </row>
    <row r="233" spans="1:6" x14ac:dyDescent="0.2">
      <c r="A233" t="s">
        <v>18</v>
      </c>
      <c r="B233" t="s">
        <v>354</v>
      </c>
      <c r="C233" t="s">
        <v>79</v>
      </c>
      <c r="D233" t="s">
        <v>80</v>
      </c>
      <c r="E233" t="s">
        <v>225</v>
      </c>
    </row>
    <row r="234" spans="1:6" x14ac:dyDescent="0.2">
      <c r="A234" t="s">
        <v>18</v>
      </c>
      <c r="B234" t="s">
        <v>355</v>
      </c>
      <c r="C234" t="s">
        <v>79</v>
      </c>
      <c r="D234" t="s">
        <v>80</v>
      </c>
      <c r="E234" t="s">
        <v>194</v>
      </c>
    </row>
    <row r="235" spans="1:6" x14ac:dyDescent="0.2">
      <c r="A235" t="s">
        <v>18</v>
      </c>
      <c r="B235" t="s">
        <v>356</v>
      </c>
      <c r="C235" t="s">
        <v>79</v>
      </c>
      <c r="D235" t="s">
        <v>80</v>
      </c>
      <c r="E235" t="s">
        <v>194</v>
      </c>
    </row>
    <row r="236" spans="1:6" x14ac:dyDescent="0.2">
      <c r="A236" t="s">
        <v>18</v>
      </c>
      <c r="B236" t="s">
        <v>357</v>
      </c>
      <c r="C236" t="s">
        <v>20</v>
      </c>
      <c r="D236" t="s">
        <v>21</v>
      </c>
      <c r="E236" t="s">
        <v>358</v>
      </c>
      <c r="F236" t="s">
        <v>359</v>
      </c>
    </row>
    <row r="237" spans="1:6" x14ac:dyDescent="0.2">
      <c r="A237" t="s">
        <v>18</v>
      </c>
      <c r="B237" t="s">
        <v>360</v>
      </c>
      <c r="C237" t="s">
        <v>79</v>
      </c>
      <c r="D237" t="s">
        <v>80</v>
      </c>
      <c r="E237" t="s">
        <v>361</v>
      </c>
    </row>
    <row r="238" spans="1:6" x14ac:dyDescent="0.2">
      <c r="A238" t="s">
        <v>18</v>
      </c>
      <c r="B238" t="s">
        <v>362</v>
      </c>
      <c r="C238" t="s">
        <v>79</v>
      </c>
      <c r="D238" t="s">
        <v>80</v>
      </c>
      <c r="E238" t="s">
        <v>363</v>
      </c>
    </row>
    <row r="239" spans="1:6" x14ac:dyDescent="0.2">
      <c r="A239" t="s">
        <v>18</v>
      </c>
      <c r="B239" t="s">
        <v>364</v>
      </c>
      <c r="C239" t="s">
        <v>79</v>
      </c>
      <c r="D239" t="s">
        <v>80</v>
      </c>
      <c r="E239" t="s">
        <v>365</v>
      </c>
    </row>
    <row r="240" spans="1:6" x14ac:dyDescent="0.2">
      <c r="A240" t="s">
        <v>18</v>
      </c>
      <c r="B240" t="s">
        <v>366</v>
      </c>
      <c r="C240" t="s">
        <v>79</v>
      </c>
      <c r="D240" t="s">
        <v>80</v>
      </c>
      <c r="E240" t="s">
        <v>365</v>
      </c>
    </row>
    <row r="241" spans="1:5" x14ac:dyDescent="0.2">
      <c r="A241" t="s">
        <v>18</v>
      </c>
      <c r="B241" t="s">
        <v>367</v>
      </c>
      <c r="C241" t="s">
        <v>79</v>
      </c>
      <c r="D241" t="s">
        <v>80</v>
      </c>
      <c r="E241" t="s">
        <v>368</v>
      </c>
    </row>
    <row r="242" spans="1:5" x14ac:dyDescent="0.2">
      <c r="A242" t="s">
        <v>18</v>
      </c>
      <c r="B242" t="s">
        <v>369</v>
      </c>
      <c r="C242" t="s">
        <v>79</v>
      </c>
      <c r="D242" t="s">
        <v>80</v>
      </c>
      <c r="E242" t="s">
        <v>336</v>
      </c>
    </row>
    <row r="243" spans="1:5" x14ac:dyDescent="0.2">
      <c r="A243" t="s">
        <v>18</v>
      </c>
      <c r="B243" t="s">
        <v>370</v>
      </c>
      <c r="C243" t="s">
        <v>20</v>
      </c>
      <c r="D243" t="s">
        <v>21</v>
      </c>
      <c r="E243" t="s">
        <v>257</v>
      </c>
    </row>
    <row r="244" spans="1:5" x14ac:dyDescent="0.2">
      <c r="A244" t="s">
        <v>18</v>
      </c>
      <c r="B244" t="s">
        <v>371</v>
      </c>
      <c r="C244" t="s">
        <v>20</v>
      </c>
      <c r="D244" t="s">
        <v>21</v>
      </c>
      <c r="E244" t="s">
        <v>257</v>
      </c>
    </row>
    <row r="245" spans="1:5" x14ac:dyDescent="0.2">
      <c r="A245" t="s">
        <v>18</v>
      </c>
      <c r="B245" t="s">
        <v>372</v>
      </c>
      <c r="C245" t="s">
        <v>79</v>
      </c>
      <c r="D245" t="s">
        <v>109</v>
      </c>
      <c r="E245" t="s">
        <v>148</v>
      </c>
    </row>
    <row r="246" spans="1:5" x14ac:dyDescent="0.2">
      <c r="A246" t="s">
        <v>18</v>
      </c>
      <c r="B246" t="s">
        <v>373</v>
      </c>
      <c r="C246" t="s">
        <v>20</v>
      </c>
      <c r="D246" t="s">
        <v>21</v>
      </c>
      <c r="E246" t="s">
        <v>374</v>
      </c>
    </row>
    <row r="247" spans="1:5" x14ac:dyDescent="0.2">
      <c r="A247" t="s">
        <v>18</v>
      </c>
      <c r="B247" t="s">
        <v>375</v>
      </c>
      <c r="C247" t="s">
        <v>26</v>
      </c>
      <c r="D247" t="s">
        <v>71</v>
      </c>
      <c r="E247" t="s">
        <v>376</v>
      </c>
    </row>
    <row r="248" spans="1:5" x14ac:dyDescent="0.2">
      <c r="A248" t="s">
        <v>18</v>
      </c>
      <c r="B248" t="s">
        <v>377</v>
      </c>
      <c r="C248" t="s">
        <v>26</v>
      </c>
      <c r="D248" t="s">
        <v>71</v>
      </c>
      <c r="E248" t="s">
        <v>378</v>
      </c>
    </row>
    <row r="249" spans="1:5" x14ac:dyDescent="0.2">
      <c r="A249" t="s">
        <v>18</v>
      </c>
      <c r="B249" t="s">
        <v>379</v>
      </c>
      <c r="C249" t="s">
        <v>380</v>
      </c>
      <c r="D249" t="s">
        <v>50</v>
      </c>
      <c r="E249" t="s">
        <v>381</v>
      </c>
    </row>
    <row r="250" spans="1:5" x14ac:dyDescent="0.2">
      <c r="A250" t="s">
        <v>18</v>
      </c>
      <c r="B250" t="s">
        <v>382</v>
      </c>
      <c r="C250" t="s">
        <v>20</v>
      </c>
      <c r="D250" t="s">
        <v>21</v>
      </c>
      <c r="E250" t="s">
        <v>383</v>
      </c>
    </row>
    <row r="251" spans="1:5" x14ac:dyDescent="0.2">
      <c r="A251" t="s">
        <v>18</v>
      </c>
      <c r="B251" t="s">
        <v>384</v>
      </c>
      <c r="C251" t="s">
        <v>20</v>
      </c>
      <c r="D251" t="s">
        <v>73</v>
      </c>
      <c r="E251" t="s">
        <v>158</v>
      </c>
    </row>
    <row r="252" spans="1:5" x14ac:dyDescent="0.2">
      <c r="A252" t="s">
        <v>18</v>
      </c>
      <c r="B252" t="s">
        <v>385</v>
      </c>
      <c r="C252" t="s">
        <v>79</v>
      </c>
      <c r="D252" t="s">
        <v>199</v>
      </c>
      <c r="E252" t="s">
        <v>386</v>
      </c>
    </row>
    <row r="253" spans="1:5" x14ac:dyDescent="0.2">
      <c r="A253" t="s">
        <v>18</v>
      </c>
      <c r="B253" t="s">
        <v>387</v>
      </c>
      <c r="C253" t="s">
        <v>79</v>
      </c>
      <c r="D253" t="s">
        <v>80</v>
      </c>
    </row>
    <row r="254" spans="1:5" x14ac:dyDescent="0.2">
      <c r="A254" t="s">
        <v>18</v>
      </c>
      <c r="B254" t="s">
        <v>388</v>
      </c>
      <c r="C254" t="s">
        <v>79</v>
      </c>
      <c r="D254" t="s">
        <v>80</v>
      </c>
      <c r="E254" t="s">
        <v>299</v>
      </c>
    </row>
    <row r="255" spans="1:5" x14ac:dyDescent="0.2">
      <c r="A255" t="s">
        <v>18</v>
      </c>
      <c r="B255" t="s">
        <v>389</v>
      </c>
      <c r="C255" t="s">
        <v>20</v>
      </c>
      <c r="D255" t="s">
        <v>21</v>
      </c>
      <c r="E255" t="s">
        <v>275</v>
      </c>
    </row>
    <row r="256" spans="1:5" x14ac:dyDescent="0.2">
      <c r="A256" t="s">
        <v>18</v>
      </c>
      <c r="B256" t="s">
        <v>390</v>
      </c>
      <c r="C256" t="s">
        <v>79</v>
      </c>
      <c r="D256" t="s">
        <v>80</v>
      </c>
      <c r="E256" t="s">
        <v>391</v>
      </c>
    </row>
    <row r="257" spans="1:5" x14ac:dyDescent="0.2">
      <c r="A257" t="s">
        <v>18</v>
      </c>
      <c r="B257" t="s">
        <v>392</v>
      </c>
      <c r="C257" t="s">
        <v>26</v>
      </c>
      <c r="D257" t="s">
        <v>71</v>
      </c>
      <c r="E257" t="s">
        <v>323</v>
      </c>
    </row>
    <row r="258" spans="1:5" x14ac:dyDescent="0.2">
      <c r="A258" t="s">
        <v>18</v>
      </c>
      <c r="B258" t="s">
        <v>393</v>
      </c>
      <c r="C258" t="s">
        <v>79</v>
      </c>
      <c r="D258" t="s">
        <v>73</v>
      </c>
      <c r="E258" t="s">
        <v>146</v>
      </c>
    </row>
    <row r="259" spans="1:5" x14ac:dyDescent="0.2">
      <c r="A259" t="s">
        <v>18</v>
      </c>
      <c r="B259" t="s">
        <v>394</v>
      </c>
      <c r="C259" t="s">
        <v>26</v>
      </c>
      <c r="D259" t="s">
        <v>272</v>
      </c>
      <c r="E259" t="s">
        <v>395</v>
      </c>
    </row>
    <row r="260" spans="1:5" x14ac:dyDescent="0.2">
      <c r="A260" t="s">
        <v>18</v>
      </c>
      <c r="B260" t="s">
        <v>396</v>
      </c>
      <c r="C260" t="s">
        <v>26</v>
      </c>
      <c r="D260" t="s">
        <v>50</v>
      </c>
      <c r="E260" t="s">
        <v>397</v>
      </c>
    </row>
    <row r="261" spans="1:5" x14ac:dyDescent="0.2">
      <c r="A261" t="s">
        <v>18</v>
      </c>
      <c r="B261" t="s">
        <v>398</v>
      </c>
      <c r="C261" t="s">
        <v>20</v>
      </c>
      <c r="D261" t="s">
        <v>21</v>
      </c>
      <c r="E261" t="s">
        <v>399</v>
      </c>
    </row>
    <row r="262" spans="1:5" x14ac:dyDescent="0.2">
      <c r="A262" t="s">
        <v>18</v>
      </c>
      <c r="B262" t="s">
        <v>400</v>
      </c>
      <c r="C262" t="s">
        <v>20</v>
      </c>
      <c r="D262" t="s">
        <v>21</v>
      </c>
      <c r="E262" t="s">
        <v>315</v>
      </c>
    </row>
    <row r="263" spans="1:5" x14ac:dyDescent="0.2">
      <c r="A263" t="s">
        <v>18</v>
      </c>
      <c r="B263" t="s">
        <v>401</v>
      </c>
      <c r="C263" t="s">
        <v>20</v>
      </c>
      <c r="D263" t="s">
        <v>21</v>
      </c>
      <c r="E263" t="s">
        <v>323</v>
      </c>
    </row>
    <row r="264" spans="1:5" x14ac:dyDescent="0.2">
      <c r="A264" t="s">
        <v>18</v>
      </c>
      <c r="B264" t="s">
        <v>402</v>
      </c>
      <c r="C264" t="s">
        <v>20</v>
      </c>
      <c r="D264" t="s">
        <v>21</v>
      </c>
      <c r="E264" t="s">
        <v>257</v>
      </c>
    </row>
    <row r="265" spans="1:5" x14ac:dyDescent="0.2">
      <c r="A265" t="s">
        <v>18</v>
      </c>
      <c r="B265" t="s">
        <v>403</v>
      </c>
      <c r="C265" t="s">
        <v>26</v>
      </c>
      <c r="D265" t="s">
        <v>50</v>
      </c>
    </row>
    <row r="266" spans="1:5" x14ac:dyDescent="0.2">
      <c r="A266" t="s">
        <v>18</v>
      </c>
      <c r="B266" t="s">
        <v>404</v>
      </c>
      <c r="C266" t="s">
        <v>26</v>
      </c>
      <c r="D266" t="s">
        <v>262</v>
      </c>
    </row>
    <row r="267" spans="1:5" x14ac:dyDescent="0.2">
      <c r="A267" t="s">
        <v>18</v>
      </c>
      <c r="B267" t="s">
        <v>405</v>
      </c>
      <c r="C267" t="s">
        <v>26</v>
      </c>
      <c r="D267" t="s">
        <v>262</v>
      </c>
    </row>
    <row r="268" spans="1:5" x14ac:dyDescent="0.2">
      <c r="A268" t="s">
        <v>18</v>
      </c>
      <c r="B268" t="s">
        <v>406</v>
      </c>
      <c r="C268" t="s">
        <v>26</v>
      </c>
      <c r="D268" t="s">
        <v>262</v>
      </c>
    </row>
    <row r="269" spans="1:5" x14ac:dyDescent="0.2">
      <c r="A269" t="s">
        <v>18</v>
      </c>
      <c r="B269" t="s">
        <v>407</v>
      </c>
      <c r="C269" t="s">
        <v>26</v>
      </c>
      <c r="D269" t="s">
        <v>262</v>
      </c>
      <c r="E269" t="s">
        <v>408</v>
      </c>
    </row>
    <row r="270" spans="1:5" x14ac:dyDescent="0.2">
      <c r="A270" t="s">
        <v>18</v>
      </c>
      <c r="B270" t="s">
        <v>409</v>
      </c>
      <c r="C270" t="s">
        <v>26</v>
      </c>
      <c r="D270" t="s">
        <v>262</v>
      </c>
      <c r="E270" t="s">
        <v>410</v>
      </c>
    </row>
    <row r="271" spans="1:5" x14ac:dyDescent="0.2">
      <c r="A271" t="s">
        <v>18</v>
      </c>
      <c r="B271" t="s">
        <v>411</v>
      </c>
      <c r="C271" t="s">
        <v>79</v>
      </c>
      <c r="D271" t="s">
        <v>80</v>
      </c>
    </row>
    <row r="272" spans="1:5" x14ac:dyDescent="0.2">
      <c r="A272" t="s">
        <v>18</v>
      </c>
      <c r="B272" t="s">
        <v>412</v>
      </c>
      <c r="C272" t="s">
        <v>79</v>
      </c>
      <c r="D272" t="s">
        <v>80</v>
      </c>
    </row>
    <row r="273" spans="1:5" x14ac:dyDescent="0.2">
      <c r="A273" t="s">
        <v>18</v>
      </c>
      <c r="B273" t="s">
        <v>413</v>
      </c>
      <c r="C273" t="s">
        <v>79</v>
      </c>
      <c r="D273" t="s">
        <v>80</v>
      </c>
    </row>
    <row r="274" spans="1:5" x14ac:dyDescent="0.2">
      <c r="A274" t="s">
        <v>18</v>
      </c>
      <c r="B274" t="s">
        <v>414</v>
      </c>
      <c r="C274" t="s">
        <v>79</v>
      </c>
      <c r="D274" t="s">
        <v>80</v>
      </c>
    </row>
    <row r="275" spans="1:5" x14ac:dyDescent="0.2">
      <c r="A275" t="s">
        <v>18</v>
      </c>
      <c r="B275" t="s">
        <v>415</v>
      </c>
      <c r="C275" t="s">
        <v>79</v>
      </c>
      <c r="D275" t="s">
        <v>199</v>
      </c>
    </row>
    <row r="276" spans="1:5" x14ac:dyDescent="0.2">
      <c r="A276" t="s">
        <v>18</v>
      </c>
      <c r="B276" t="s">
        <v>416</v>
      </c>
      <c r="C276" t="s">
        <v>26</v>
      </c>
      <c r="D276" t="s">
        <v>71</v>
      </c>
      <c r="E276" t="s">
        <v>378</v>
      </c>
    </row>
    <row r="277" spans="1:5" x14ac:dyDescent="0.2">
      <c r="A277" t="s">
        <v>18</v>
      </c>
      <c r="B277" t="s">
        <v>417</v>
      </c>
      <c r="C277" t="s">
        <v>26</v>
      </c>
      <c r="D277" t="s">
        <v>71</v>
      </c>
      <c r="E277" t="s">
        <v>121</v>
      </c>
    </row>
    <row r="278" spans="1:5" x14ac:dyDescent="0.2">
      <c r="A278" t="s">
        <v>18</v>
      </c>
      <c r="B278" t="s">
        <v>418</v>
      </c>
      <c r="C278" t="s">
        <v>26</v>
      </c>
      <c r="D278" t="s">
        <v>50</v>
      </c>
      <c r="E278" t="s">
        <v>288</v>
      </c>
    </row>
    <row r="279" spans="1:5" x14ac:dyDescent="0.2">
      <c r="A279" t="s">
        <v>18</v>
      </c>
      <c r="B279" t="s">
        <v>419</v>
      </c>
      <c r="C279" t="s">
        <v>26</v>
      </c>
      <c r="D279" t="s">
        <v>50</v>
      </c>
      <c r="E279" t="s">
        <v>420</v>
      </c>
    </row>
    <row r="280" spans="1:5" x14ac:dyDescent="0.2">
      <c r="A280" t="s">
        <v>18</v>
      </c>
      <c r="B280" t="s">
        <v>421</v>
      </c>
      <c r="C280" t="s">
        <v>26</v>
      </c>
      <c r="D280" t="s">
        <v>50</v>
      </c>
      <c r="E280" t="s">
        <v>422</v>
      </c>
    </row>
    <row r="281" spans="1:5" x14ac:dyDescent="0.2">
      <c r="A281" t="s">
        <v>18</v>
      </c>
      <c r="B281" t="s">
        <v>423</v>
      </c>
      <c r="C281" t="s">
        <v>26</v>
      </c>
      <c r="D281" t="s">
        <v>50</v>
      </c>
      <c r="E281" t="s">
        <v>424</v>
      </c>
    </row>
    <row r="282" spans="1:5" x14ac:dyDescent="0.2">
      <c r="A282" t="s">
        <v>18</v>
      </c>
      <c r="B282" t="s">
        <v>425</v>
      </c>
      <c r="C282" t="s">
        <v>26</v>
      </c>
      <c r="D282" t="s">
        <v>50</v>
      </c>
      <c r="E282" t="s">
        <v>426</v>
      </c>
    </row>
    <row r="283" spans="1:5" x14ac:dyDescent="0.2">
      <c r="A283" t="s">
        <v>18</v>
      </c>
      <c r="B283" t="s">
        <v>427</v>
      </c>
      <c r="C283" t="s">
        <v>26</v>
      </c>
      <c r="D283" t="s">
        <v>50</v>
      </c>
      <c r="E283" t="s">
        <v>428</v>
      </c>
    </row>
    <row r="284" spans="1:5" x14ac:dyDescent="0.2">
      <c r="A284" t="s">
        <v>18</v>
      </c>
      <c r="B284" t="s">
        <v>429</v>
      </c>
      <c r="C284" t="s">
        <v>26</v>
      </c>
      <c r="D284" t="s">
        <v>50</v>
      </c>
      <c r="E284" t="s">
        <v>430</v>
      </c>
    </row>
    <row r="285" spans="1:5" x14ac:dyDescent="0.2">
      <c r="A285" t="s">
        <v>18</v>
      </c>
      <c r="B285" t="s">
        <v>431</v>
      </c>
      <c r="C285" t="s">
        <v>26</v>
      </c>
      <c r="D285" t="s">
        <v>50</v>
      </c>
      <c r="E285" t="s">
        <v>410</v>
      </c>
    </row>
    <row r="286" spans="1:5" x14ac:dyDescent="0.2">
      <c r="A286" t="s">
        <v>18</v>
      </c>
      <c r="B286" t="s">
        <v>432</v>
      </c>
      <c r="C286" t="s">
        <v>26</v>
      </c>
      <c r="D286" t="s">
        <v>50</v>
      </c>
      <c r="E286" t="s">
        <v>187</v>
      </c>
    </row>
    <row r="287" spans="1:5" x14ac:dyDescent="0.2">
      <c r="A287" t="s">
        <v>18</v>
      </c>
      <c r="B287" t="s">
        <v>433</v>
      </c>
      <c r="C287" t="s">
        <v>26</v>
      </c>
      <c r="D287" t="s">
        <v>434</v>
      </c>
      <c r="E287" t="s">
        <v>183</v>
      </c>
    </row>
    <row r="288" spans="1:5" x14ac:dyDescent="0.2">
      <c r="A288" t="s">
        <v>18</v>
      </c>
      <c r="B288" t="s">
        <v>435</v>
      </c>
      <c r="C288" t="s">
        <v>26</v>
      </c>
      <c r="D288" t="s">
        <v>434</v>
      </c>
      <c r="E288" t="s">
        <v>376</v>
      </c>
    </row>
    <row r="289" spans="1:5" x14ac:dyDescent="0.2">
      <c r="A289" t="s">
        <v>18</v>
      </c>
      <c r="B289" t="s">
        <v>436</v>
      </c>
      <c r="C289" t="s">
        <v>20</v>
      </c>
      <c r="D289" t="s">
        <v>73</v>
      </c>
      <c r="E289" t="s">
        <v>437</v>
      </c>
    </row>
    <row r="290" spans="1:5" x14ac:dyDescent="0.2">
      <c r="A290" t="s">
        <v>18</v>
      </c>
      <c r="B290" t="s">
        <v>438</v>
      </c>
      <c r="C290" t="s">
        <v>26</v>
      </c>
      <c r="D290" t="s">
        <v>439</v>
      </c>
      <c r="E290" t="s">
        <v>440</v>
      </c>
    </row>
    <row r="291" spans="1:5" x14ac:dyDescent="0.2">
      <c r="A291" t="s">
        <v>18</v>
      </c>
      <c r="B291" t="s">
        <v>441</v>
      </c>
      <c r="C291" t="s">
        <v>79</v>
      </c>
      <c r="D291" t="s">
        <v>246</v>
      </c>
      <c r="E291" t="s">
        <v>442</v>
      </c>
    </row>
    <row r="292" spans="1:5" x14ac:dyDescent="0.2">
      <c r="A292" t="s">
        <v>18</v>
      </c>
      <c r="B292" t="s">
        <v>443</v>
      </c>
      <c r="C292" t="s">
        <v>380</v>
      </c>
      <c r="D292" t="s">
        <v>434</v>
      </c>
      <c r="E292" t="s">
        <v>444</v>
      </c>
    </row>
    <row r="293" spans="1:5" x14ac:dyDescent="0.2">
      <c r="A293" t="s">
        <v>18</v>
      </c>
      <c r="B293" t="s">
        <v>445</v>
      </c>
      <c r="C293" t="s">
        <v>26</v>
      </c>
      <c r="D293" t="s">
        <v>71</v>
      </c>
      <c r="E293" t="s">
        <v>446</v>
      </c>
    </row>
    <row r="294" spans="1:5" x14ac:dyDescent="0.2">
      <c r="A294" t="s">
        <v>18</v>
      </c>
      <c r="B294" t="s">
        <v>447</v>
      </c>
      <c r="C294" t="s">
        <v>26</v>
      </c>
      <c r="D294" t="s">
        <v>71</v>
      </c>
      <c r="E294" t="s">
        <v>173</v>
      </c>
    </row>
    <row r="295" spans="1:5" x14ac:dyDescent="0.2">
      <c r="A295" t="s">
        <v>18</v>
      </c>
      <c r="B295" t="s">
        <v>448</v>
      </c>
      <c r="C295" t="s">
        <v>26</v>
      </c>
      <c r="D295" t="s">
        <v>281</v>
      </c>
      <c r="E295" t="s">
        <v>282</v>
      </c>
    </row>
    <row r="296" spans="1:5" x14ac:dyDescent="0.2">
      <c r="A296" t="s">
        <v>18</v>
      </c>
      <c r="B296" t="s">
        <v>449</v>
      </c>
      <c r="C296" t="s">
        <v>26</v>
      </c>
      <c r="D296" t="s">
        <v>281</v>
      </c>
      <c r="E296" t="s">
        <v>282</v>
      </c>
    </row>
    <row r="297" spans="1:5" x14ac:dyDescent="0.2">
      <c r="A297" t="s">
        <v>18</v>
      </c>
      <c r="B297" t="s">
        <v>450</v>
      </c>
      <c r="C297" t="s">
        <v>26</v>
      </c>
      <c r="D297" t="s">
        <v>281</v>
      </c>
      <c r="E297" t="s">
        <v>282</v>
      </c>
    </row>
    <row r="298" spans="1:5" x14ac:dyDescent="0.2">
      <c r="A298" t="s">
        <v>18</v>
      </c>
      <c r="B298" t="s">
        <v>451</v>
      </c>
      <c r="C298" t="s">
        <v>26</v>
      </c>
      <c r="D298" t="s">
        <v>281</v>
      </c>
      <c r="E298" t="s">
        <v>185</v>
      </c>
    </row>
    <row r="299" spans="1:5" x14ac:dyDescent="0.2">
      <c r="A299" t="s">
        <v>18</v>
      </c>
      <c r="B299" t="s">
        <v>452</v>
      </c>
      <c r="C299" t="s">
        <v>26</v>
      </c>
      <c r="D299" t="s">
        <v>434</v>
      </c>
      <c r="E299" t="s">
        <v>453</v>
      </c>
    </row>
    <row r="300" spans="1:5" x14ac:dyDescent="0.2">
      <c r="A300" t="s">
        <v>18</v>
      </c>
      <c r="B300" t="s">
        <v>454</v>
      </c>
      <c r="C300" t="s">
        <v>26</v>
      </c>
      <c r="D300" t="s">
        <v>439</v>
      </c>
      <c r="E300" t="s">
        <v>440</v>
      </c>
    </row>
    <row r="301" spans="1:5" x14ac:dyDescent="0.2">
      <c r="A301" t="s">
        <v>18</v>
      </c>
      <c r="B301" t="s">
        <v>455</v>
      </c>
      <c r="C301" t="s">
        <v>26</v>
      </c>
      <c r="D301" t="s">
        <v>262</v>
      </c>
    </row>
    <row r="302" spans="1:5" x14ac:dyDescent="0.2">
      <c r="A302" t="s">
        <v>18</v>
      </c>
      <c r="B302" t="s">
        <v>456</v>
      </c>
      <c r="C302" t="s">
        <v>26</v>
      </c>
      <c r="D302" t="s">
        <v>50</v>
      </c>
    </row>
    <row r="303" spans="1:5" x14ac:dyDescent="0.2">
      <c r="A303" t="s">
        <v>18</v>
      </c>
      <c r="B303" t="s">
        <v>457</v>
      </c>
      <c r="C303" t="s">
        <v>26</v>
      </c>
      <c r="D303" t="s">
        <v>50</v>
      </c>
    </row>
    <row r="304" spans="1:5" x14ac:dyDescent="0.2">
      <c r="A304" t="s">
        <v>18</v>
      </c>
      <c r="B304" t="s">
        <v>458</v>
      </c>
      <c r="C304" t="s">
        <v>26</v>
      </c>
      <c r="D304" t="s">
        <v>50</v>
      </c>
    </row>
    <row r="305" spans="1:4" x14ac:dyDescent="0.2">
      <c r="A305" t="s">
        <v>18</v>
      </c>
      <c r="B305" t="s">
        <v>459</v>
      </c>
      <c r="C305" t="s">
        <v>26</v>
      </c>
      <c r="D305" t="s">
        <v>50</v>
      </c>
    </row>
    <row r="306" spans="1:4" x14ac:dyDescent="0.2">
      <c r="A306" t="s">
        <v>18</v>
      </c>
      <c r="B306" t="s">
        <v>460</v>
      </c>
      <c r="C306" t="s">
        <v>26</v>
      </c>
      <c r="D306" t="s">
        <v>50</v>
      </c>
    </row>
    <row r="307" spans="1:4" x14ac:dyDescent="0.2">
      <c r="A307" t="s">
        <v>18</v>
      </c>
      <c r="B307" t="s">
        <v>461</v>
      </c>
      <c r="C307" t="s">
        <v>26</v>
      </c>
      <c r="D307" t="s">
        <v>50</v>
      </c>
    </row>
    <row r="308" spans="1:4" x14ac:dyDescent="0.2">
      <c r="A308" t="s">
        <v>18</v>
      </c>
      <c r="B308" t="s">
        <v>462</v>
      </c>
      <c r="C308" t="s">
        <v>20</v>
      </c>
      <c r="D308" t="s">
        <v>463</v>
      </c>
    </row>
    <row r="309" spans="1:4" x14ac:dyDescent="0.2">
      <c r="A309" t="s">
        <v>18</v>
      </c>
      <c r="B309" t="s">
        <v>464</v>
      </c>
      <c r="C309" t="s">
        <v>20</v>
      </c>
      <c r="D309" t="s">
        <v>463</v>
      </c>
    </row>
    <row r="310" spans="1:4" x14ac:dyDescent="0.2">
      <c r="A310" t="s">
        <v>18</v>
      </c>
      <c r="B310" t="s">
        <v>465</v>
      </c>
      <c r="C310" t="s">
        <v>20</v>
      </c>
      <c r="D310" t="s">
        <v>463</v>
      </c>
    </row>
    <row r="311" spans="1:4" x14ac:dyDescent="0.2">
      <c r="A311" t="s">
        <v>18</v>
      </c>
      <c r="B311" t="s">
        <v>466</v>
      </c>
      <c r="C311" t="s">
        <v>20</v>
      </c>
      <c r="D311" t="s">
        <v>463</v>
      </c>
    </row>
    <row r="312" spans="1:4" x14ac:dyDescent="0.2">
      <c r="A312" t="s">
        <v>18</v>
      </c>
      <c r="B312" t="s">
        <v>467</v>
      </c>
      <c r="C312" t="s">
        <v>20</v>
      </c>
      <c r="D312" t="s">
        <v>463</v>
      </c>
    </row>
    <row r="313" spans="1:4" x14ac:dyDescent="0.2">
      <c r="A313" t="s">
        <v>18</v>
      </c>
      <c r="B313" t="s">
        <v>468</v>
      </c>
      <c r="C313" t="s">
        <v>20</v>
      </c>
      <c r="D313" t="s">
        <v>463</v>
      </c>
    </row>
    <row r="314" spans="1:4" x14ac:dyDescent="0.2">
      <c r="A314" t="s">
        <v>18</v>
      </c>
      <c r="B314" t="s">
        <v>469</v>
      </c>
      <c r="C314" t="s">
        <v>20</v>
      </c>
      <c r="D314" t="s">
        <v>463</v>
      </c>
    </row>
    <row r="315" spans="1:4" x14ac:dyDescent="0.2">
      <c r="A315" t="s">
        <v>18</v>
      </c>
      <c r="B315" t="s">
        <v>470</v>
      </c>
      <c r="C315" t="s">
        <v>20</v>
      </c>
      <c r="D315" t="s">
        <v>463</v>
      </c>
    </row>
    <row r="316" spans="1:4" x14ac:dyDescent="0.2">
      <c r="A316" t="s">
        <v>18</v>
      </c>
      <c r="B316" t="s">
        <v>471</v>
      </c>
      <c r="C316" t="s">
        <v>20</v>
      </c>
      <c r="D316" t="s">
        <v>463</v>
      </c>
    </row>
    <row r="317" spans="1:4" x14ac:dyDescent="0.2">
      <c r="A317" t="s">
        <v>18</v>
      </c>
      <c r="B317" t="s">
        <v>472</v>
      </c>
      <c r="C317" t="s">
        <v>20</v>
      </c>
      <c r="D317" t="s">
        <v>463</v>
      </c>
    </row>
    <row r="318" spans="1:4" x14ac:dyDescent="0.2">
      <c r="A318" t="s">
        <v>18</v>
      </c>
      <c r="B318" t="s">
        <v>473</v>
      </c>
      <c r="C318" t="s">
        <v>20</v>
      </c>
      <c r="D318" t="s">
        <v>463</v>
      </c>
    </row>
    <row r="319" spans="1:4" x14ac:dyDescent="0.2">
      <c r="A319" t="s">
        <v>18</v>
      </c>
      <c r="B319" t="s">
        <v>474</v>
      </c>
      <c r="C319" t="s">
        <v>20</v>
      </c>
      <c r="D319" t="s">
        <v>463</v>
      </c>
    </row>
    <row r="320" spans="1:4" x14ac:dyDescent="0.2">
      <c r="A320" t="s">
        <v>18</v>
      </c>
      <c r="B320" t="s">
        <v>475</v>
      </c>
      <c r="C320" t="s">
        <v>20</v>
      </c>
      <c r="D320" t="s">
        <v>463</v>
      </c>
    </row>
    <row r="321" spans="1:4" x14ac:dyDescent="0.2">
      <c r="A321" t="s">
        <v>18</v>
      </c>
      <c r="B321" t="s">
        <v>476</v>
      </c>
      <c r="C321" t="s">
        <v>20</v>
      </c>
      <c r="D321" t="s">
        <v>463</v>
      </c>
    </row>
    <row r="322" spans="1:4" x14ac:dyDescent="0.2">
      <c r="A322" t="s">
        <v>18</v>
      </c>
      <c r="B322" t="s">
        <v>477</v>
      </c>
      <c r="C322" t="s">
        <v>20</v>
      </c>
      <c r="D322" t="s">
        <v>463</v>
      </c>
    </row>
    <row r="323" spans="1:4" x14ac:dyDescent="0.2">
      <c r="A323" t="s">
        <v>18</v>
      </c>
      <c r="B323" t="s">
        <v>478</v>
      </c>
      <c r="C323" t="s">
        <v>20</v>
      </c>
      <c r="D323" t="s">
        <v>463</v>
      </c>
    </row>
    <row r="324" spans="1:4" x14ac:dyDescent="0.2">
      <c r="A324" t="s">
        <v>18</v>
      </c>
      <c r="B324" t="s">
        <v>479</v>
      </c>
      <c r="C324" t="s">
        <v>20</v>
      </c>
      <c r="D324" t="s">
        <v>463</v>
      </c>
    </row>
    <row r="325" spans="1:4" x14ac:dyDescent="0.2">
      <c r="A325" t="s">
        <v>18</v>
      </c>
      <c r="B325" t="s">
        <v>480</v>
      </c>
      <c r="C325" t="s">
        <v>20</v>
      </c>
      <c r="D325" t="s">
        <v>463</v>
      </c>
    </row>
    <row r="326" spans="1:4" x14ac:dyDescent="0.2">
      <c r="A326" t="s">
        <v>18</v>
      </c>
      <c r="B326" t="s">
        <v>481</v>
      </c>
      <c r="C326" t="s">
        <v>20</v>
      </c>
      <c r="D326" t="s">
        <v>463</v>
      </c>
    </row>
    <row r="327" spans="1:4" x14ac:dyDescent="0.2">
      <c r="A327" t="s">
        <v>18</v>
      </c>
      <c r="B327" t="s">
        <v>482</v>
      </c>
      <c r="C327" t="s">
        <v>20</v>
      </c>
      <c r="D327" t="s">
        <v>21</v>
      </c>
    </row>
    <row r="328" spans="1:4" x14ac:dyDescent="0.2">
      <c r="A328" t="s">
        <v>18</v>
      </c>
      <c r="B328" t="s">
        <v>483</v>
      </c>
      <c r="C328" t="s">
        <v>20</v>
      </c>
      <c r="D328" t="s">
        <v>21</v>
      </c>
    </row>
    <row r="329" spans="1:4" x14ac:dyDescent="0.2">
      <c r="A329" t="s">
        <v>18</v>
      </c>
      <c r="B329" t="s">
        <v>484</v>
      </c>
      <c r="C329" t="s">
        <v>20</v>
      </c>
      <c r="D329" t="s">
        <v>21</v>
      </c>
    </row>
    <row r="330" spans="1:4" x14ac:dyDescent="0.2">
      <c r="A330" t="s">
        <v>18</v>
      </c>
      <c r="B330" t="s">
        <v>485</v>
      </c>
      <c r="C330" t="s">
        <v>20</v>
      </c>
      <c r="D330" t="s">
        <v>21</v>
      </c>
    </row>
    <row r="331" spans="1:4" x14ac:dyDescent="0.2">
      <c r="A331" t="s">
        <v>18</v>
      </c>
      <c r="B331" t="s">
        <v>486</v>
      </c>
      <c r="C331" t="s">
        <v>20</v>
      </c>
      <c r="D331" t="s">
        <v>21</v>
      </c>
    </row>
    <row r="332" spans="1:4" x14ac:dyDescent="0.2">
      <c r="A332" t="s">
        <v>18</v>
      </c>
      <c r="B332" t="s">
        <v>487</v>
      </c>
      <c r="C332" t="s">
        <v>20</v>
      </c>
      <c r="D332" t="s">
        <v>21</v>
      </c>
    </row>
    <row r="333" spans="1:4" x14ac:dyDescent="0.2">
      <c r="A333" t="s">
        <v>18</v>
      </c>
      <c r="B333" t="s">
        <v>488</v>
      </c>
      <c r="C333" t="s">
        <v>20</v>
      </c>
      <c r="D333" t="s">
        <v>21</v>
      </c>
    </row>
    <row r="334" spans="1:4" x14ac:dyDescent="0.2">
      <c r="A334" t="s">
        <v>18</v>
      </c>
      <c r="B334" t="s">
        <v>489</v>
      </c>
      <c r="C334" t="s">
        <v>20</v>
      </c>
      <c r="D334" t="s">
        <v>21</v>
      </c>
    </row>
    <row r="335" spans="1:4" x14ac:dyDescent="0.2">
      <c r="A335" t="s">
        <v>18</v>
      </c>
      <c r="B335" t="s">
        <v>490</v>
      </c>
      <c r="C335" t="s">
        <v>20</v>
      </c>
      <c r="D335" t="s">
        <v>21</v>
      </c>
    </row>
    <row r="336" spans="1:4" x14ac:dyDescent="0.2">
      <c r="A336" t="s">
        <v>18</v>
      </c>
      <c r="B336" t="s">
        <v>491</v>
      </c>
      <c r="C336" t="s">
        <v>20</v>
      </c>
      <c r="D336" t="s">
        <v>21</v>
      </c>
    </row>
    <row r="337" spans="1:5" x14ac:dyDescent="0.2">
      <c r="A337" t="s">
        <v>18</v>
      </c>
      <c r="B337" t="s">
        <v>492</v>
      </c>
      <c r="C337" t="s">
        <v>20</v>
      </c>
      <c r="D337" t="s">
        <v>21</v>
      </c>
    </row>
    <row r="338" spans="1:5" x14ac:dyDescent="0.2">
      <c r="A338" t="s">
        <v>18</v>
      </c>
      <c r="B338" t="s">
        <v>493</v>
      </c>
      <c r="C338" t="s">
        <v>20</v>
      </c>
      <c r="D338" t="s">
        <v>21</v>
      </c>
    </row>
    <row r="339" spans="1:5" x14ac:dyDescent="0.2">
      <c r="A339" t="s">
        <v>18</v>
      </c>
      <c r="B339" t="s">
        <v>494</v>
      </c>
      <c r="C339" t="s">
        <v>20</v>
      </c>
      <c r="D339" t="s">
        <v>21</v>
      </c>
    </row>
    <row r="340" spans="1:5" x14ac:dyDescent="0.2">
      <c r="A340" t="s">
        <v>18</v>
      </c>
      <c r="B340" t="s">
        <v>495</v>
      </c>
      <c r="C340" t="s">
        <v>20</v>
      </c>
      <c r="D340" t="s">
        <v>21</v>
      </c>
      <c r="E340" t="s">
        <v>496</v>
      </c>
    </row>
    <row r="341" spans="1:5" x14ac:dyDescent="0.2">
      <c r="A341" t="s">
        <v>18</v>
      </c>
      <c r="B341" t="s">
        <v>497</v>
      </c>
      <c r="C341" t="s">
        <v>20</v>
      </c>
      <c r="D341" t="s">
        <v>21</v>
      </c>
      <c r="E341" t="s">
        <v>185</v>
      </c>
    </row>
    <row r="342" spans="1:5" x14ac:dyDescent="0.2">
      <c r="A342" t="s">
        <v>18</v>
      </c>
      <c r="B342" t="s">
        <v>498</v>
      </c>
      <c r="C342" t="s">
        <v>20</v>
      </c>
      <c r="D342" t="s">
        <v>21</v>
      </c>
      <c r="E342" t="s">
        <v>374</v>
      </c>
    </row>
    <row r="343" spans="1:5" x14ac:dyDescent="0.2">
      <c r="A343" t="s">
        <v>18</v>
      </c>
      <c r="B343" t="s">
        <v>499</v>
      </c>
      <c r="C343" t="s">
        <v>20</v>
      </c>
      <c r="D343" t="s">
        <v>21</v>
      </c>
      <c r="E343" t="s">
        <v>453</v>
      </c>
    </row>
    <row r="344" spans="1:5" x14ac:dyDescent="0.2">
      <c r="A344" t="s">
        <v>18</v>
      </c>
      <c r="B344" t="s">
        <v>500</v>
      </c>
      <c r="C344" t="s">
        <v>20</v>
      </c>
      <c r="D344" t="s">
        <v>21</v>
      </c>
      <c r="E344" t="s">
        <v>453</v>
      </c>
    </row>
    <row r="345" spans="1:5" x14ac:dyDescent="0.2">
      <c r="A345" t="s">
        <v>18</v>
      </c>
      <c r="B345" t="s">
        <v>501</v>
      </c>
      <c r="C345" t="s">
        <v>20</v>
      </c>
      <c r="D345" t="s">
        <v>73</v>
      </c>
      <c r="E345" t="s">
        <v>502</v>
      </c>
    </row>
    <row r="346" spans="1:5" x14ac:dyDescent="0.2">
      <c r="A346" t="s">
        <v>18</v>
      </c>
      <c r="B346" t="s">
        <v>503</v>
      </c>
      <c r="C346" t="s">
        <v>26</v>
      </c>
      <c r="D346" t="s">
        <v>50</v>
      </c>
      <c r="E346" t="s">
        <v>428</v>
      </c>
    </row>
    <row r="347" spans="1:5" x14ac:dyDescent="0.2">
      <c r="A347" t="s">
        <v>18</v>
      </c>
      <c r="B347" t="s">
        <v>504</v>
      </c>
      <c r="C347" t="s">
        <v>26</v>
      </c>
      <c r="D347" t="s">
        <v>50</v>
      </c>
      <c r="E347" t="s">
        <v>288</v>
      </c>
    </row>
    <row r="348" spans="1:5" x14ac:dyDescent="0.2">
      <c r="A348" t="s">
        <v>18</v>
      </c>
      <c r="B348" t="s">
        <v>505</v>
      </c>
      <c r="C348" t="s">
        <v>20</v>
      </c>
      <c r="D348" t="s">
        <v>21</v>
      </c>
      <c r="E348" t="s">
        <v>257</v>
      </c>
    </row>
    <row r="349" spans="1:5" x14ac:dyDescent="0.2">
      <c r="A349" t="s">
        <v>18</v>
      </c>
      <c r="B349" t="s">
        <v>506</v>
      </c>
      <c r="C349" t="s">
        <v>249</v>
      </c>
      <c r="D349" t="s">
        <v>50</v>
      </c>
    </row>
    <row r="350" spans="1:5" x14ac:dyDescent="0.2">
      <c r="A350" t="s">
        <v>18</v>
      </c>
      <c r="B350" t="s">
        <v>507</v>
      </c>
      <c r="C350" t="s">
        <v>249</v>
      </c>
      <c r="D350" t="s">
        <v>50</v>
      </c>
    </row>
    <row r="351" spans="1:5" x14ac:dyDescent="0.2">
      <c r="A351" t="s">
        <v>18</v>
      </c>
      <c r="B351" t="s">
        <v>508</v>
      </c>
      <c r="C351" t="s">
        <v>249</v>
      </c>
      <c r="D351" t="s">
        <v>50</v>
      </c>
    </row>
    <row r="352" spans="1:5" x14ac:dyDescent="0.2">
      <c r="A352" t="s">
        <v>18</v>
      </c>
      <c r="B352" t="s">
        <v>509</v>
      </c>
      <c r="C352" t="s">
        <v>249</v>
      </c>
      <c r="D352" t="s">
        <v>50</v>
      </c>
    </row>
    <row r="353" spans="1:4" x14ac:dyDescent="0.2">
      <c r="A353" t="s">
        <v>18</v>
      </c>
      <c r="B353" t="s">
        <v>510</v>
      </c>
      <c r="C353" t="s">
        <v>249</v>
      </c>
      <c r="D353" t="s">
        <v>50</v>
      </c>
    </row>
    <row r="354" spans="1:4" x14ac:dyDescent="0.2">
      <c r="A354" t="s">
        <v>18</v>
      </c>
      <c r="B354" t="s">
        <v>511</v>
      </c>
      <c r="C354" t="s">
        <v>249</v>
      </c>
      <c r="D354" t="s">
        <v>50</v>
      </c>
    </row>
    <row r="355" spans="1:4" x14ac:dyDescent="0.2">
      <c r="A355" t="s">
        <v>18</v>
      </c>
      <c r="B355" t="s">
        <v>512</v>
      </c>
      <c r="C355" t="s">
        <v>249</v>
      </c>
      <c r="D355" t="s">
        <v>50</v>
      </c>
    </row>
    <row r="356" spans="1:4" x14ac:dyDescent="0.2">
      <c r="A356" t="s">
        <v>18</v>
      </c>
      <c r="B356" t="s">
        <v>513</v>
      </c>
      <c r="C356" t="s">
        <v>249</v>
      </c>
      <c r="D356" t="s">
        <v>50</v>
      </c>
    </row>
    <row r="357" spans="1:4" x14ac:dyDescent="0.2">
      <c r="A357" t="s">
        <v>18</v>
      </c>
      <c r="B357" t="s">
        <v>514</v>
      </c>
      <c r="C357" t="s">
        <v>249</v>
      </c>
      <c r="D357" t="s">
        <v>50</v>
      </c>
    </row>
    <row r="358" spans="1:4" x14ac:dyDescent="0.2">
      <c r="A358" t="s">
        <v>18</v>
      </c>
      <c r="B358" t="s">
        <v>515</v>
      </c>
      <c r="C358" t="s">
        <v>249</v>
      </c>
      <c r="D358" t="s">
        <v>50</v>
      </c>
    </row>
    <row r="359" spans="1:4" x14ac:dyDescent="0.2">
      <c r="A359" t="s">
        <v>18</v>
      </c>
      <c r="B359" t="s">
        <v>516</v>
      </c>
      <c r="C359" t="s">
        <v>249</v>
      </c>
      <c r="D359" t="s">
        <v>50</v>
      </c>
    </row>
    <row r="360" spans="1:4" x14ac:dyDescent="0.2">
      <c r="A360" t="s">
        <v>18</v>
      </c>
      <c r="B360" t="s">
        <v>517</v>
      </c>
      <c r="C360" t="s">
        <v>249</v>
      </c>
      <c r="D360" t="s">
        <v>50</v>
      </c>
    </row>
    <row r="361" spans="1:4" x14ac:dyDescent="0.2">
      <c r="A361" t="s">
        <v>18</v>
      </c>
      <c r="B361" t="s">
        <v>518</v>
      </c>
      <c r="C361" t="s">
        <v>249</v>
      </c>
      <c r="D361" t="s">
        <v>50</v>
      </c>
    </row>
    <row r="362" spans="1:4" x14ac:dyDescent="0.2">
      <c r="A362" t="s">
        <v>18</v>
      </c>
      <c r="B362" t="s">
        <v>519</v>
      </c>
      <c r="C362" t="s">
        <v>249</v>
      </c>
      <c r="D362" t="s">
        <v>50</v>
      </c>
    </row>
    <row r="363" spans="1:4" x14ac:dyDescent="0.2">
      <c r="A363" t="s">
        <v>18</v>
      </c>
      <c r="B363" t="s">
        <v>520</v>
      </c>
      <c r="C363" t="s">
        <v>249</v>
      </c>
      <c r="D363" t="s">
        <v>50</v>
      </c>
    </row>
    <row r="364" spans="1:4" x14ac:dyDescent="0.2">
      <c r="A364" t="s">
        <v>18</v>
      </c>
      <c r="B364" t="s">
        <v>521</v>
      </c>
      <c r="C364" t="s">
        <v>249</v>
      </c>
      <c r="D364" t="s">
        <v>50</v>
      </c>
    </row>
    <row r="365" spans="1:4" x14ac:dyDescent="0.2">
      <c r="A365" t="s">
        <v>18</v>
      </c>
      <c r="B365" t="s">
        <v>522</v>
      </c>
      <c r="C365" t="s">
        <v>249</v>
      </c>
      <c r="D365" t="s">
        <v>50</v>
      </c>
    </row>
    <row r="366" spans="1:4" x14ac:dyDescent="0.2">
      <c r="A366" t="s">
        <v>18</v>
      </c>
      <c r="B366" t="s">
        <v>523</v>
      </c>
      <c r="C366" t="s">
        <v>249</v>
      </c>
      <c r="D366" t="s">
        <v>50</v>
      </c>
    </row>
    <row r="367" spans="1:4" x14ac:dyDescent="0.2">
      <c r="A367" t="s">
        <v>18</v>
      </c>
      <c r="B367" t="s">
        <v>524</v>
      </c>
      <c r="C367" t="s">
        <v>249</v>
      </c>
      <c r="D367" t="s">
        <v>50</v>
      </c>
    </row>
    <row r="368" spans="1:4" x14ac:dyDescent="0.2">
      <c r="A368" t="s">
        <v>18</v>
      </c>
      <c r="B368" t="s">
        <v>525</v>
      </c>
      <c r="C368" t="s">
        <v>249</v>
      </c>
      <c r="D368" t="s">
        <v>50</v>
      </c>
    </row>
    <row r="369" spans="1:4" x14ac:dyDescent="0.2">
      <c r="A369" t="s">
        <v>526</v>
      </c>
      <c r="B369" t="s">
        <v>527</v>
      </c>
      <c r="C369" t="s">
        <v>380</v>
      </c>
      <c r="D369" t="s">
        <v>528</v>
      </c>
    </row>
    <row r="370" spans="1:4" x14ac:dyDescent="0.2">
      <c r="A370" t="s">
        <v>526</v>
      </c>
      <c r="B370" t="s">
        <v>529</v>
      </c>
      <c r="C370" t="s">
        <v>380</v>
      </c>
      <c r="D370" t="s">
        <v>528</v>
      </c>
    </row>
    <row r="371" spans="1:4" x14ac:dyDescent="0.2">
      <c r="A371" t="s">
        <v>526</v>
      </c>
      <c r="B371" t="s">
        <v>530</v>
      </c>
      <c r="C371" t="s">
        <v>380</v>
      </c>
      <c r="D371" t="s">
        <v>528</v>
      </c>
    </row>
    <row r="372" spans="1:4" x14ac:dyDescent="0.2">
      <c r="A372" t="s">
        <v>526</v>
      </c>
      <c r="B372" t="s">
        <v>531</v>
      </c>
      <c r="C372" t="s">
        <v>380</v>
      </c>
      <c r="D372" t="s">
        <v>528</v>
      </c>
    </row>
    <row r="373" spans="1:4" x14ac:dyDescent="0.2">
      <c r="A373" t="s">
        <v>526</v>
      </c>
      <c r="B373" t="s">
        <v>532</v>
      </c>
      <c r="C373" t="s">
        <v>380</v>
      </c>
      <c r="D373" t="s">
        <v>528</v>
      </c>
    </row>
    <row r="374" spans="1:4" x14ac:dyDescent="0.2">
      <c r="A374" t="s">
        <v>526</v>
      </c>
      <c r="B374" t="s">
        <v>533</v>
      </c>
      <c r="C374" t="s">
        <v>380</v>
      </c>
      <c r="D374" t="s">
        <v>528</v>
      </c>
    </row>
    <row r="375" spans="1:4" x14ac:dyDescent="0.2">
      <c r="A375" t="s">
        <v>526</v>
      </c>
      <c r="B375" t="s">
        <v>534</v>
      </c>
      <c r="C375" t="s">
        <v>380</v>
      </c>
      <c r="D375" t="s">
        <v>528</v>
      </c>
    </row>
    <row r="376" spans="1:4" x14ac:dyDescent="0.2">
      <c r="A376" t="s">
        <v>526</v>
      </c>
      <c r="B376" t="s">
        <v>535</v>
      </c>
      <c r="C376" t="s">
        <v>380</v>
      </c>
      <c r="D376" t="s">
        <v>528</v>
      </c>
    </row>
    <row r="377" spans="1:4" x14ac:dyDescent="0.2">
      <c r="A377" t="s">
        <v>526</v>
      </c>
      <c r="B377" t="s">
        <v>536</v>
      </c>
      <c r="C377" t="s">
        <v>380</v>
      </c>
      <c r="D377" t="s">
        <v>528</v>
      </c>
    </row>
    <row r="378" spans="1:4" x14ac:dyDescent="0.2">
      <c r="A378" t="s">
        <v>526</v>
      </c>
      <c r="B378" t="s">
        <v>537</v>
      </c>
      <c r="C378" t="s">
        <v>380</v>
      </c>
      <c r="D378" t="s">
        <v>528</v>
      </c>
    </row>
    <row r="379" spans="1:4" x14ac:dyDescent="0.2">
      <c r="A379" t="s">
        <v>526</v>
      </c>
      <c r="B379" t="s">
        <v>538</v>
      </c>
      <c r="C379" t="s">
        <v>380</v>
      </c>
      <c r="D379" t="s">
        <v>463</v>
      </c>
    </row>
    <row r="380" spans="1:4" x14ac:dyDescent="0.2">
      <c r="A380" t="s">
        <v>526</v>
      </c>
      <c r="B380" t="s">
        <v>539</v>
      </c>
      <c r="C380" t="s">
        <v>380</v>
      </c>
      <c r="D380" t="s">
        <v>50</v>
      </c>
    </row>
    <row r="381" spans="1:4" x14ac:dyDescent="0.2">
      <c r="A381" t="s">
        <v>526</v>
      </c>
      <c r="B381" t="s">
        <v>540</v>
      </c>
      <c r="C381" t="s">
        <v>380</v>
      </c>
      <c r="D381" t="s">
        <v>50</v>
      </c>
    </row>
    <row r="382" spans="1:4" x14ac:dyDescent="0.2">
      <c r="A382" t="s">
        <v>526</v>
      </c>
      <c r="B382" t="s">
        <v>541</v>
      </c>
      <c r="C382" t="s">
        <v>380</v>
      </c>
      <c r="D382" t="s">
        <v>50</v>
      </c>
    </row>
    <row r="383" spans="1:4" x14ac:dyDescent="0.2">
      <c r="A383" t="s">
        <v>526</v>
      </c>
      <c r="B383" t="s">
        <v>542</v>
      </c>
      <c r="C383" t="s">
        <v>380</v>
      </c>
      <c r="D383" t="s">
        <v>50</v>
      </c>
    </row>
    <row r="384" spans="1:4" x14ac:dyDescent="0.2">
      <c r="A384" t="s">
        <v>526</v>
      </c>
      <c r="B384" t="s">
        <v>543</v>
      </c>
      <c r="C384" t="s">
        <v>380</v>
      </c>
      <c r="D384" t="s">
        <v>50</v>
      </c>
    </row>
    <row r="385" spans="1:4" x14ac:dyDescent="0.2">
      <c r="A385" t="s">
        <v>526</v>
      </c>
      <c r="B385" t="s">
        <v>544</v>
      </c>
      <c r="C385" t="s">
        <v>380</v>
      </c>
      <c r="D385" t="s">
        <v>50</v>
      </c>
    </row>
    <row r="386" spans="1:4" x14ac:dyDescent="0.2">
      <c r="A386" t="s">
        <v>526</v>
      </c>
      <c r="B386" t="s">
        <v>545</v>
      </c>
      <c r="C386" t="s">
        <v>380</v>
      </c>
      <c r="D386" t="s">
        <v>50</v>
      </c>
    </row>
    <row r="387" spans="1:4" x14ac:dyDescent="0.2">
      <c r="A387" t="s">
        <v>526</v>
      </c>
      <c r="B387" t="s">
        <v>546</v>
      </c>
      <c r="C387" t="s">
        <v>380</v>
      </c>
      <c r="D387" t="s">
        <v>50</v>
      </c>
    </row>
    <row r="388" spans="1:4" x14ac:dyDescent="0.2">
      <c r="A388" t="s">
        <v>526</v>
      </c>
      <c r="B388" t="s">
        <v>547</v>
      </c>
      <c r="C388" t="s">
        <v>380</v>
      </c>
      <c r="D388" t="s">
        <v>50</v>
      </c>
    </row>
    <row r="389" spans="1:4" x14ac:dyDescent="0.2">
      <c r="A389" t="s">
        <v>526</v>
      </c>
      <c r="B389" t="s">
        <v>548</v>
      </c>
      <c r="C389" t="s">
        <v>380</v>
      </c>
      <c r="D389" t="s">
        <v>50</v>
      </c>
    </row>
    <row r="390" spans="1:4" x14ac:dyDescent="0.2">
      <c r="A390" t="s">
        <v>526</v>
      </c>
      <c r="B390" t="s">
        <v>549</v>
      </c>
      <c r="C390" t="s">
        <v>380</v>
      </c>
      <c r="D390" t="s">
        <v>71</v>
      </c>
    </row>
    <row r="391" spans="1:4" x14ac:dyDescent="0.2">
      <c r="A391" t="s">
        <v>526</v>
      </c>
      <c r="B391" t="s">
        <v>550</v>
      </c>
      <c r="C391" t="s">
        <v>380</v>
      </c>
      <c r="D391" t="s">
        <v>71</v>
      </c>
    </row>
    <row r="392" spans="1:4" x14ac:dyDescent="0.2">
      <c r="A392" t="s">
        <v>526</v>
      </c>
      <c r="B392" t="s">
        <v>551</v>
      </c>
      <c r="C392" t="s">
        <v>380</v>
      </c>
      <c r="D392" t="s">
        <v>71</v>
      </c>
    </row>
    <row r="393" spans="1:4" x14ac:dyDescent="0.2">
      <c r="A393" t="s">
        <v>526</v>
      </c>
      <c r="B393" t="s">
        <v>552</v>
      </c>
      <c r="C393" t="s">
        <v>380</v>
      </c>
      <c r="D393" t="s">
        <v>71</v>
      </c>
    </row>
    <row r="394" spans="1:4" x14ac:dyDescent="0.2">
      <c r="A394" t="s">
        <v>526</v>
      </c>
      <c r="B394" t="s">
        <v>553</v>
      </c>
      <c r="C394" t="s">
        <v>380</v>
      </c>
      <c r="D394" t="s">
        <v>71</v>
      </c>
    </row>
    <row r="395" spans="1:4" x14ac:dyDescent="0.2">
      <c r="A395" t="s">
        <v>526</v>
      </c>
      <c r="B395" t="s">
        <v>554</v>
      </c>
      <c r="C395" t="s">
        <v>380</v>
      </c>
      <c r="D395" t="s">
        <v>71</v>
      </c>
    </row>
    <row r="396" spans="1:4" x14ac:dyDescent="0.2">
      <c r="A396" t="s">
        <v>526</v>
      </c>
      <c r="B396" t="s">
        <v>555</v>
      </c>
      <c r="C396" t="s">
        <v>380</v>
      </c>
      <c r="D396" t="s">
        <v>71</v>
      </c>
    </row>
    <row r="397" spans="1:4" x14ac:dyDescent="0.2">
      <c r="A397" t="s">
        <v>526</v>
      </c>
      <c r="B397" t="s">
        <v>556</v>
      </c>
      <c r="C397" t="s">
        <v>380</v>
      </c>
      <c r="D397" t="s">
        <v>71</v>
      </c>
    </row>
    <row r="398" spans="1:4" x14ac:dyDescent="0.2">
      <c r="A398" t="s">
        <v>526</v>
      </c>
      <c r="B398" t="s">
        <v>557</v>
      </c>
      <c r="C398" t="s">
        <v>380</v>
      </c>
      <c r="D398" t="s">
        <v>71</v>
      </c>
    </row>
    <row r="399" spans="1:4" x14ac:dyDescent="0.2">
      <c r="A399" t="s">
        <v>526</v>
      </c>
      <c r="B399" t="s">
        <v>558</v>
      </c>
      <c r="C399" t="s">
        <v>380</v>
      </c>
      <c r="D399" t="s">
        <v>71</v>
      </c>
    </row>
    <row r="400" spans="1:4" x14ac:dyDescent="0.2">
      <c r="A400" t="s">
        <v>526</v>
      </c>
      <c r="B400" t="s">
        <v>559</v>
      </c>
      <c r="C400" t="s">
        <v>380</v>
      </c>
      <c r="D400" t="s">
        <v>71</v>
      </c>
    </row>
    <row r="401" spans="1:4" x14ac:dyDescent="0.2">
      <c r="A401" t="s">
        <v>526</v>
      </c>
      <c r="B401" t="s">
        <v>560</v>
      </c>
      <c r="C401" t="s">
        <v>380</v>
      </c>
      <c r="D401" t="s">
        <v>71</v>
      </c>
    </row>
    <row r="402" spans="1:4" x14ac:dyDescent="0.2">
      <c r="A402" t="s">
        <v>526</v>
      </c>
      <c r="B402" t="s">
        <v>561</v>
      </c>
      <c r="C402" t="s">
        <v>380</v>
      </c>
      <c r="D402" t="s">
        <v>71</v>
      </c>
    </row>
    <row r="403" spans="1:4" x14ac:dyDescent="0.2">
      <c r="A403" t="s">
        <v>526</v>
      </c>
      <c r="B403" t="s">
        <v>562</v>
      </c>
      <c r="C403" t="s">
        <v>380</v>
      </c>
      <c r="D403" t="s">
        <v>528</v>
      </c>
    </row>
    <row r="404" spans="1:4" x14ac:dyDescent="0.2">
      <c r="A404" t="s">
        <v>526</v>
      </c>
      <c r="B404" t="s">
        <v>563</v>
      </c>
      <c r="C404" t="s">
        <v>380</v>
      </c>
      <c r="D404" t="s">
        <v>528</v>
      </c>
    </row>
    <row r="405" spans="1:4" x14ac:dyDescent="0.2">
      <c r="A405" t="s">
        <v>526</v>
      </c>
      <c r="B405" t="s">
        <v>564</v>
      </c>
      <c r="C405" t="s">
        <v>380</v>
      </c>
      <c r="D405" t="s">
        <v>528</v>
      </c>
    </row>
    <row r="406" spans="1:4" x14ac:dyDescent="0.2">
      <c r="A406" t="s">
        <v>526</v>
      </c>
      <c r="B406" t="s">
        <v>565</v>
      </c>
      <c r="C406" t="s">
        <v>380</v>
      </c>
      <c r="D406" t="s">
        <v>566</v>
      </c>
    </row>
    <row r="407" spans="1:4" x14ac:dyDescent="0.2">
      <c r="A407" t="s">
        <v>526</v>
      </c>
      <c r="B407" t="s">
        <v>567</v>
      </c>
      <c r="C407" t="s">
        <v>380</v>
      </c>
      <c r="D407" t="s">
        <v>566</v>
      </c>
    </row>
    <row r="408" spans="1:4" x14ac:dyDescent="0.2">
      <c r="A408" t="s">
        <v>526</v>
      </c>
      <c r="B408" t="s">
        <v>568</v>
      </c>
      <c r="C408" t="s">
        <v>380</v>
      </c>
      <c r="D408" t="s">
        <v>566</v>
      </c>
    </row>
    <row r="409" spans="1:4" x14ac:dyDescent="0.2">
      <c r="A409" t="s">
        <v>526</v>
      </c>
      <c r="B409" t="s">
        <v>569</v>
      </c>
      <c r="C409" t="s">
        <v>380</v>
      </c>
      <c r="D409" t="s">
        <v>434</v>
      </c>
    </row>
    <row r="410" spans="1:4" x14ac:dyDescent="0.2">
      <c r="A410" t="s">
        <v>526</v>
      </c>
      <c r="B410" t="s">
        <v>570</v>
      </c>
      <c r="C410" t="s">
        <v>380</v>
      </c>
      <c r="D410" t="s">
        <v>434</v>
      </c>
    </row>
    <row r="411" spans="1:4" x14ac:dyDescent="0.2">
      <c r="A411" t="s">
        <v>526</v>
      </c>
      <c r="B411" t="s">
        <v>571</v>
      </c>
      <c r="C411" t="s">
        <v>380</v>
      </c>
      <c r="D411" t="s">
        <v>434</v>
      </c>
    </row>
    <row r="412" spans="1:4" x14ac:dyDescent="0.2">
      <c r="A412" t="s">
        <v>526</v>
      </c>
      <c r="B412" t="s">
        <v>572</v>
      </c>
      <c r="C412" t="s">
        <v>380</v>
      </c>
      <c r="D412" t="s">
        <v>434</v>
      </c>
    </row>
    <row r="413" spans="1:4" x14ac:dyDescent="0.2">
      <c r="A413" t="s">
        <v>526</v>
      </c>
      <c r="B413" t="s">
        <v>573</v>
      </c>
      <c r="C413" t="s">
        <v>380</v>
      </c>
      <c r="D413" t="s">
        <v>434</v>
      </c>
    </row>
    <row r="414" spans="1:4" x14ac:dyDescent="0.2">
      <c r="A414" t="s">
        <v>526</v>
      </c>
      <c r="B414" t="s">
        <v>574</v>
      </c>
      <c r="C414" t="s">
        <v>380</v>
      </c>
      <c r="D414" t="s">
        <v>434</v>
      </c>
    </row>
    <row r="415" spans="1:4" x14ac:dyDescent="0.2">
      <c r="A415" t="s">
        <v>526</v>
      </c>
      <c r="B415" t="s">
        <v>575</v>
      </c>
      <c r="C415" t="s">
        <v>380</v>
      </c>
      <c r="D415" t="s">
        <v>434</v>
      </c>
    </row>
    <row r="416" spans="1:4" x14ac:dyDescent="0.2">
      <c r="A416" t="s">
        <v>526</v>
      </c>
      <c r="B416" t="s">
        <v>576</v>
      </c>
      <c r="C416" t="s">
        <v>380</v>
      </c>
      <c r="D416" t="s">
        <v>434</v>
      </c>
    </row>
    <row r="417" spans="1:4" x14ac:dyDescent="0.2">
      <c r="A417" t="s">
        <v>526</v>
      </c>
      <c r="B417" t="s">
        <v>577</v>
      </c>
      <c r="C417" t="s">
        <v>380</v>
      </c>
      <c r="D417" t="s">
        <v>434</v>
      </c>
    </row>
    <row r="418" spans="1:4" x14ac:dyDescent="0.2">
      <c r="A418" t="s">
        <v>526</v>
      </c>
      <c r="B418" t="s">
        <v>578</v>
      </c>
      <c r="C418" t="s">
        <v>380</v>
      </c>
      <c r="D418" t="s">
        <v>434</v>
      </c>
    </row>
    <row r="419" spans="1:4" x14ac:dyDescent="0.2">
      <c r="A419" t="s">
        <v>526</v>
      </c>
      <c r="B419" t="s">
        <v>579</v>
      </c>
      <c r="C419" t="s">
        <v>380</v>
      </c>
      <c r="D419" t="s">
        <v>434</v>
      </c>
    </row>
    <row r="420" spans="1:4" x14ac:dyDescent="0.2">
      <c r="A420" t="s">
        <v>526</v>
      </c>
      <c r="B420" t="s">
        <v>580</v>
      </c>
      <c r="C420" t="s">
        <v>380</v>
      </c>
      <c r="D420" t="s">
        <v>434</v>
      </c>
    </row>
    <row r="421" spans="1:4" x14ac:dyDescent="0.2">
      <c r="A421" t="s">
        <v>526</v>
      </c>
      <c r="B421" t="s">
        <v>581</v>
      </c>
      <c r="C421" t="s">
        <v>380</v>
      </c>
      <c r="D421" t="s">
        <v>434</v>
      </c>
    </row>
    <row r="422" spans="1:4" x14ac:dyDescent="0.2">
      <c r="A422" t="s">
        <v>526</v>
      </c>
      <c r="B422" t="s">
        <v>582</v>
      </c>
      <c r="C422" t="s">
        <v>380</v>
      </c>
      <c r="D422" t="s">
        <v>434</v>
      </c>
    </row>
    <row r="423" spans="1:4" x14ac:dyDescent="0.2">
      <c r="A423" t="s">
        <v>526</v>
      </c>
      <c r="B423" t="s">
        <v>583</v>
      </c>
      <c r="C423" t="s">
        <v>380</v>
      </c>
      <c r="D423" t="s">
        <v>434</v>
      </c>
    </row>
    <row r="424" spans="1:4" x14ac:dyDescent="0.2">
      <c r="A424" t="s">
        <v>526</v>
      </c>
      <c r="B424" t="s">
        <v>584</v>
      </c>
      <c r="C424" t="s">
        <v>380</v>
      </c>
      <c r="D424" t="s">
        <v>434</v>
      </c>
    </row>
    <row r="425" spans="1:4" x14ac:dyDescent="0.2">
      <c r="A425" t="s">
        <v>526</v>
      </c>
      <c r="B425" t="s">
        <v>585</v>
      </c>
      <c r="C425" t="s">
        <v>380</v>
      </c>
      <c r="D425" t="s">
        <v>434</v>
      </c>
    </row>
    <row r="426" spans="1:4" x14ac:dyDescent="0.2">
      <c r="A426" t="s">
        <v>526</v>
      </c>
      <c r="B426" t="s">
        <v>586</v>
      </c>
      <c r="C426" t="s">
        <v>380</v>
      </c>
      <c r="D426" t="s">
        <v>434</v>
      </c>
    </row>
    <row r="427" spans="1:4" x14ac:dyDescent="0.2">
      <c r="A427" t="s">
        <v>526</v>
      </c>
      <c r="B427" t="s">
        <v>587</v>
      </c>
      <c r="C427" t="s">
        <v>380</v>
      </c>
      <c r="D427" t="s">
        <v>434</v>
      </c>
    </row>
    <row r="428" spans="1:4" x14ac:dyDescent="0.2">
      <c r="A428" t="s">
        <v>526</v>
      </c>
      <c r="B428" t="s">
        <v>588</v>
      </c>
      <c r="C428" t="s">
        <v>380</v>
      </c>
      <c r="D428" t="s">
        <v>434</v>
      </c>
    </row>
    <row r="429" spans="1:4" x14ac:dyDescent="0.2">
      <c r="A429" t="s">
        <v>526</v>
      </c>
      <c r="B429" t="s">
        <v>589</v>
      </c>
      <c r="C429" t="s">
        <v>380</v>
      </c>
      <c r="D429" t="s">
        <v>434</v>
      </c>
    </row>
    <row r="430" spans="1:4" x14ac:dyDescent="0.2">
      <c r="A430" t="s">
        <v>526</v>
      </c>
      <c r="B430" t="s">
        <v>590</v>
      </c>
      <c r="C430" t="s">
        <v>380</v>
      </c>
      <c r="D430" t="s">
        <v>434</v>
      </c>
    </row>
    <row r="431" spans="1:4" x14ac:dyDescent="0.2">
      <c r="A431" t="s">
        <v>526</v>
      </c>
      <c r="B431" t="s">
        <v>591</v>
      </c>
      <c r="C431" t="s">
        <v>380</v>
      </c>
      <c r="D431" t="s">
        <v>434</v>
      </c>
    </row>
    <row r="432" spans="1:4" x14ac:dyDescent="0.2">
      <c r="A432" t="s">
        <v>526</v>
      </c>
      <c r="B432" t="s">
        <v>592</v>
      </c>
      <c r="C432" t="s">
        <v>380</v>
      </c>
      <c r="D432" t="s">
        <v>434</v>
      </c>
    </row>
    <row r="433" spans="1:4" x14ac:dyDescent="0.2">
      <c r="A433" t="s">
        <v>526</v>
      </c>
      <c r="B433" t="s">
        <v>593</v>
      </c>
      <c r="C433" t="s">
        <v>380</v>
      </c>
      <c r="D433" t="s">
        <v>434</v>
      </c>
    </row>
    <row r="434" spans="1:4" x14ac:dyDescent="0.2">
      <c r="A434" t="s">
        <v>526</v>
      </c>
      <c r="B434" t="s">
        <v>594</v>
      </c>
      <c r="C434" t="s">
        <v>380</v>
      </c>
      <c r="D434" t="s">
        <v>434</v>
      </c>
    </row>
    <row r="435" spans="1:4" x14ac:dyDescent="0.2">
      <c r="A435" t="s">
        <v>526</v>
      </c>
      <c r="B435" t="s">
        <v>595</v>
      </c>
      <c r="C435" t="s">
        <v>380</v>
      </c>
      <c r="D435" t="s">
        <v>434</v>
      </c>
    </row>
    <row r="436" spans="1:4" x14ac:dyDescent="0.2">
      <c r="A436" t="s">
        <v>526</v>
      </c>
      <c r="B436" t="s">
        <v>596</v>
      </c>
      <c r="C436" t="s">
        <v>380</v>
      </c>
      <c r="D436" t="s">
        <v>434</v>
      </c>
    </row>
    <row r="437" spans="1:4" x14ac:dyDescent="0.2">
      <c r="A437" t="s">
        <v>526</v>
      </c>
      <c r="B437" t="s">
        <v>597</v>
      </c>
      <c r="C437" t="s">
        <v>380</v>
      </c>
      <c r="D437" t="s">
        <v>434</v>
      </c>
    </row>
    <row r="438" spans="1:4" x14ac:dyDescent="0.2">
      <c r="A438" t="s">
        <v>526</v>
      </c>
      <c r="B438" t="s">
        <v>598</v>
      </c>
      <c r="C438" t="s">
        <v>380</v>
      </c>
      <c r="D438" t="s">
        <v>434</v>
      </c>
    </row>
    <row r="439" spans="1:4" x14ac:dyDescent="0.2">
      <c r="A439" t="s">
        <v>526</v>
      </c>
      <c r="B439" t="s">
        <v>599</v>
      </c>
      <c r="C439" t="s">
        <v>380</v>
      </c>
      <c r="D439" t="s">
        <v>434</v>
      </c>
    </row>
    <row r="440" spans="1:4" x14ac:dyDescent="0.2">
      <c r="A440" t="s">
        <v>526</v>
      </c>
      <c r="B440" t="s">
        <v>600</v>
      </c>
      <c r="C440" t="s">
        <v>380</v>
      </c>
      <c r="D440" t="s">
        <v>434</v>
      </c>
    </row>
    <row r="441" spans="1:4" x14ac:dyDescent="0.2">
      <c r="A441" t="s">
        <v>526</v>
      </c>
      <c r="B441" t="s">
        <v>601</v>
      </c>
      <c r="C441" t="s">
        <v>380</v>
      </c>
      <c r="D441" t="s">
        <v>434</v>
      </c>
    </row>
    <row r="442" spans="1:4" x14ac:dyDescent="0.2">
      <c r="A442" t="s">
        <v>526</v>
      </c>
      <c r="B442" t="s">
        <v>602</v>
      </c>
      <c r="C442" t="s">
        <v>380</v>
      </c>
      <c r="D442" t="s">
        <v>434</v>
      </c>
    </row>
    <row r="443" spans="1:4" x14ac:dyDescent="0.2">
      <c r="A443" t="s">
        <v>526</v>
      </c>
      <c r="B443" t="s">
        <v>603</v>
      </c>
      <c r="C443" t="s">
        <v>380</v>
      </c>
      <c r="D443" t="s">
        <v>434</v>
      </c>
    </row>
    <row r="444" spans="1:4" x14ac:dyDescent="0.2">
      <c r="A444" t="s">
        <v>526</v>
      </c>
      <c r="B444" t="s">
        <v>604</v>
      </c>
      <c r="C444" t="s">
        <v>380</v>
      </c>
      <c r="D444" t="s">
        <v>434</v>
      </c>
    </row>
    <row r="445" spans="1:4" x14ac:dyDescent="0.2">
      <c r="A445" t="s">
        <v>526</v>
      </c>
      <c r="B445" t="s">
        <v>605</v>
      </c>
      <c r="C445" t="s">
        <v>380</v>
      </c>
      <c r="D445" t="s">
        <v>27</v>
      </c>
    </row>
    <row r="446" spans="1:4" x14ac:dyDescent="0.2">
      <c r="A446" t="s">
        <v>526</v>
      </c>
      <c r="B446" t="s">
        <v>606</v>
      </c>
      <c r="C446" t="s">
        <v>380</v>
      </c>
      <c r="D446" t="s">
        <v>27</v>
      </c>
    </row>
    <row r="447" spans="1:4" x14ac:dyDescent="0.2">
      <c r="A447" t="s">
        <v>526</v>
      </c>
      <c r="B447" t="s">
        <v>607</v>
      </c>
      <c r="C447" t="s">
        <v>380</v>
      </c>
      <c r="D447" t="s">
        <v>27</v>
      </c>
    </row>
    <row r="448" spans="1:4" x14ac:dyDescent="0.2">
      <c r="A448" t="s">
        <v>526</v>
      </c>
      <c r="B448" t="s">
        <v>608</v>
      </c>
      <c r="C448" t="s">
        <v>380</v>
      </c>
      <c r="D448" t="s">
        <v>27</v>
      </c>
    </row>
    <row r="449" spans="1:5" x14ac:dyDescent="0.2">
      <c r="A449" t="s">
        <v>526</v>
      </c>
      <c r="B449" t="s">
        <v>609</v>
      </c>
      <c r="C449" t="s">
        <v>380</v>
      </c>
      <c r="D449" t="s">
        <v>27</v>
      </c>
    </row>
    <row r="450" spans="1:5" x14ac:dyDescent="0.2">
      <c r="A450" t="s">
        <v>526</v>
      </c>
      <c r="B450" t="s">
        <v>610</v>
      </c>
      <c r="C450" t="s">
        <v>380</v>
      </c>
      <c r="D450" t="s">
        <v>27</v>
      </c>
    </row>
    <row r="451" spans="1:5" x14ac:dyDescent="0.2">
      <c r="A451" t="s">
        <v>526</v>
      </c>
      <c r="B451" t="s">
        <v>611</v>
      </c>
      <c r="C451" t="s">
        <v>380</v>
      </c>
      <c r="D451" t="s">
        <v>27</v>
      </c>
    </row>
    <row r="452" spans="1:5" x14ac:dyDescent="0.2">
      <c r="A452" t="s">
        <v>526</v>
      </c>
      <c r="B452" t="s">
        <v>612</v>
      </c>
      <c r="C452" t="s">
        <v>380</v>
      </c>
      <c r="D452" t="s">
        <v>71</v>
      </c>
      <c r="E452" t="s">
        <v>613</v>
      </c>
    </row>
    <row r="453" spans="1:5" x14ac:dyDescent="0.2">
      <c r="A453" t="s">
        <v>526</v>
      </c>
      <c r="B453" t="s">
        <v>614</v>
      </c>
      <c r="C453" t="s">
        <v>380</v>
      </c>
      <c r="D453" t="s">
        <v>71</v>
      </c>
      <c r="E453" t="s">
        <v>613</v>
      </c>
    </row>
    <row r="454" spans="1:5" x14ac:dyDescent="0.2">
      <c r="A454" t="s">
        <v>526</v>
      </c>
      <c r="B454" t="s">
        <v>615</v>
      </c>
      <c r="C454" t="s">
        <v>380</v>
      </c>
      <c r="D454" t="s">
        <v>71</v>
      </c>
      <c r="E454" t="s">
        <v>613</v>
      </c>
    </row>
    <row r="455" spans="1:5" x14ac:dyDescent="0.2">
      <c r="A455" t="s">
        <v>526</v>
      </c>
      <c r="B455" t="s">
        <v>616</v>
      </c>
      <c r="C455" t="s">
        <v>380</v>
      </c>
      <c r="D455" t="s">
        <v>71</v>
      </c>
      <c r="E455" t="s">
        <v>613</v>
      </c>
    </row>
    <row r="456" spans="1:5" x14ac:dyDescent="0.2">
      <c r="A456" t="s">
        <v>526</v>
      </c>
      <c r="B456" t="s">
        <v>617</v>
      </c>
      <c r="C456" t="s">
        <v>380</v>
      </c>
      <c r="D456" t="s">
        <v>71</v>
      </c>
      <c r="E456" t="s">
        <v>618</v>
      </c>
    </row>
    <row r="457" spans="1:5" x14ac:dyDescent="0.2">
      <c r="A457" t="s">
        <v>526</v>
      </c>
      <c r="B457" t="s">
        <v>619</v>
      </c>
      <c r="C457" t="s">
        <v>380</v>
      </c>
      <c r="D457" t="s">
        <v>434</v>
      </c>
      <c r="E457" t="s">
        <v>444</v>
      </c>
    </row>
    <row r="458" spans="1:5" x14ac:dyDescent="0.2">
      <c r="A458" t="s">
        <v>526</v>
      </c>
      <c r="B458" t="s">
        <v>620</v>
      </c>
      <c r="C458" t="s">
        <v>380</v>
      </c>
      <c r="D458" t="s">
        <v>434</v>
      </c>
      <c r="E458" t="s">
        <v>426</v>
      </c>
    </row>
    <row r="459" spans="1:5" x14ac:dyDescent="0.2">
      <c r="A459" t="s">
        <v>526</v>
      </c>
      <c r="B459" t="s">
        <v>621</v>
      </c>
      <c r="C459" t="s">
        <v>380</v>
      </c>
      <c r="D459" t="s">
        <v>434</v>
      </c>
      <c r="E459" t="s">
        <v>426</v>
      </c>
    </row>
    <row r="460" spans="1:5" x14ac:dyDescent="0.2">
      <c r="A460" t="s">
        <v>526</v>
      </c>
      <c r="B460" t="s">
        <v>622</v>
      </c>
      <c r="C460" t="s">
        <v>380</v>
      </c>
      <c r="D460" t="s">
        <v>434</v>
      </c>
      <c r="E460" t="s">
        <v>426</v>
      </c>
    </row>
    <row r="461" spans="1:5" x14ac:dyDescent="0.2">
      <c r="A461" t="s">
        <v>526</v>
      </c>
      <c r="B461" t="s">
        <v>623</v>
      </c>
      <c r="C461" t="s">
        <v>380</v>
      </c>
      <c r="D461" t="s">
        <v>434</v>
      </c>
      <c r="E461" t="s">
        <v>624</v>
      </c>
    </row>
    <row r="462" spans="1:5" x14ac:dyDescent="0.2">
      <c r="A462" t="s">
        <v>526</v>
      </c>
      <c r="B462" t="s">
        <v>625</v>
      </c>
      <c r="C462" t="s">
        <v>380</v>
      </c>
      <c r="D462" t="s">
        <v>434</v>
      </c>
      <c r="E462" t="s">
        <v>624</v>
      </c>
    </row>
    <row r="463" spans="1:5" x14ac:dyDescent="0.2">
      <c r="A463" t="s">
        <v>526</v>
      </c>
      <c r="B463" t="s">
        <v>626</v>
      </c>
      <c r="C463" t="s">
        <v>380</v>
      </c>
      <c r="D463" t="s">
        <v>434</v>
      </c>
      <c r="E463" t="s">
        <v>257</v>
      </c>
    </row>
    <row r="464" spans="1:5" x14ac:dyDescent="0.2">
      <c r="A464" t="s">
        <v>526</v>
      </c>
      <c r="B464" t="s">
        <v>627</v>
      </c>
      <c r="C464" t="s">
        <v>380</v>
      </c>
      <c r="D464" t="s">
        <v>434</v>
      </c>
      <c r="E464" t="s">
        <v>628</v>
      </c>
    </row>
    <row r="465" spans="1:6" x14ac:dyDescent="0.2">
      <c r="A465" t="s">
        <v>526</v>
      </c>
      <c r="B465" t="s">
        <v>629</v>
      </c>
      <c r="C465" t="s">
        <v>380</v>
      </c>
      <c r="D465" t="s">
        <v>434</v>
      </c>
      <c r="E465" t="s">
        <v>630</v>
      </c>
    </row>
    <row r="466" spans="1:6" x14ac:dyDescent="0.2">
      <c r="A466" t="s">
        <v>526</v>
      </c>
      <c r="B466" t="s">
        <v>631</v>
      </c>
      <c r="C466" t="s">
        <v>380</v>
      </c>
      <c r="D466" t="s">
        <v>434</v>
      </c>
      <c r="E466" t="s">
        <v>632</v>
      </c>
      <c r="F466" t="s">
        <v>633</v>
      </c>
    </row>
    <row r="467" spans="1:6" x14ac:dyDescent="0.2">
      <c r="A467" t="s">
        <v>526</v>
      </c>
      <c r="B467" t="s">
        <v>634</v>
      </c>
      <c r="C467" t="s">
        <v>380</v>
      </c>
      <c r="D467" t="s">
        <v>434</v>
      </c>
      <c r="E467" t="s">
        <v>243</v>
      </c>
    </row>
    <row r="468" spans="1:6" x14ac:dyDescent="0.2">
      <c r="A468" t="s">
        <v>526</v>
      </c>
      <c r="B468" t="s">
        <v>635</v>
      </c>
      <c r="C468" t="s">
        <v>380</v>
      </c>
      <c r="D468" t="s">
        <v>71</v>
      </c>
      <c r="E468" t="s">
        <v>618</v>
      </c>
    </row>
    <row r="469" spans="1:6" x14ac:dyDescent="0.2">
      <c r="A469" t="s">
        <v>526</v>
      </c>
      <c r="B469" t="s">
        <v>636</v>
      </c>
      <c r="C469" t="s">
        <v>380</v>
      </c>
      <c r="D469" t="s">
        <v>71</v>
      </c>
      <c r="E469" t="s">
        <v>637</v>
      </c>
    </row>
    <row r="470" spans="1:6" x14ac:dyDescent="0.2">
      <c r="A470" t="s">
        <v>526</v>
      </c>
      <c r="B470" t="s">
        <v>638</v>
      </c>
      <c r="C470" t="s">
        <v>380</v>
      </c>
      <c r="D470" t="s">
        <v>71</v>
      </c>
      <c r="E470" t="s">
        <v>639</v>
      </c>
    </row>
    <row r="471" spans="1:6" x14ac:dyDescent="0.2">
      <c r="A471" t="s">
        <v>526</v>
      </c>
      <c r="B471" t="s">
        <v>640</v>
      </c>
      <c r="C471" t="s">
        <v>380</v>
      </c>
      <c r="D471" t="s">
        <v>71</v>
      </c>
      <c r="E471" t="s">
        <v>641</v>
      </c>
    </row>
    <row r="472" spans="1:6" x14ac:dyDescent="0.2">
      <c r="A472" t="s">
        <v>526</v>
      </c>
      <c r="B472" t="s">
        <v>642</v>
      </c>
      <c r="C472" t="s">
        <v>380</v>
      </c>
      <c r="D472" t="s">
        <v>71</v>
      </c>
      <c r="E472" t="s">
        <v>641</v>
      </c>
    </row>
    <row r="473" spans="1:6" x14ac:dyDescent="0.2">
      <c r="A473" t="s">
        <v>526</v>
      </c>
      <c r="B473" t="s">
        <v>643</v>
      </c>
      <c r="C473" t="s">
        <v>380</v>
      </c>
      <c r="D473" t="s">
        <v>50</v>
      </c>
      <c r="E473" t="s">
        <v>334</v>
      </c>
    </row>
    <row r="474" spans="1:6" x14ac:dyDescent="0.2">
      <c r="A474" t="s">
        <v>526</v>
      </c>
      <c r="B474" t="s">
        <v>644</v>
      </c>
      <c r="C474" t="s">
        <v>380</v>
      </c>
      <c r="D474" t="s">
        <v>434</v>
      </c>
      <c r="E474" t="s">
        <v>645</v>
      </c>
    </row>
    <row r="475" spans="1:6" x14ac:dyDescent="0.2">
      <c r="A475" t="s">
        <v>526</v>
      </c>
      <c r="B475" t="s">
        <v>646</v>
      </c>
      <c r="C475" t="s">
        <v>380</v>
      </c>
      <c r="D475" t="s">
        <v>528</v>
      </c>
      <c r="E475" t="s">
        <v>117</v>
      </c>
    </row>
    <row r="476" spans="1:6" x14ac:dyDescent="0.2">
      <c r="A476" t="s">
        <v>526</v>
      </c>
      <c r="B476" t="s">
        <v>647</v>
      </c>
      <c r="C476" t="s">
        <v>380</v>
      </c>
      <c r="D476" t="s">
        <v>566</v>
      </c>
      <c r="E476" t="s">
        <v>121</v>
      </c>
    </row>
    <row r="477" spans="1:6" x14ac:dyDescent="0.2">
      <c r="A477" t="s">
        <v>526</v>
      </c>
      <c r="B477" t="s">
        <v>648</v>
      </c>
      <c r="C477" t="s">
        <v>380</v>
      </c>
      <c r="D477" t="s">
        <v>528</v>
      </c>
      <c r="E477" t="s">
        <v>649</v>
      </c>
    </row>
    <row r="478" spans="1:6" x14ac:dyDescent="0.2">
      <c r="A478" t="s">
        <v>526</v>
      </c>
      <c r="B478" t="s">
        <v>650</v>
      </c>
      <c r="C478" t="s">
        <v>380</v>
      </c>
      <c r="D478" t="s">
        <v>528</v>
      </c>
      <c r="E478" t="s">
        <v>651</v>
      </c>
    </row>
    <row r="479" spans="1:6" x14ac:dyDescent="0.2">
      <c r="A479" t="s">
        <v>526</v>
      </c>
      <c r="B479" t="s">
        <v>652</v>
      </c>
      <c r="C479" t="s">
        <v>380</v>
      </c>
      <c r="D479" t="s">
        <v>528</v>
      </c>
      <c r="E479" t="s">
        <v>496</v>
      </c>
    </row>
    <row r="480" spans="1:6" x14ac:dyDescent="0.2">
      <c r="A480" t="s">
        <v>526</v>
      </c>
      <c r="B480" t="s">
        <v>653</v>
      </c>
      <c r="C480" t="s">
        <v>380</v>
      </c>
      <c r="D480" t="s">
        <v>528</v>
      </c>
      <c r="E480" t="s">
        <v>183</v>
      </c>
    </row>
    <row r="481" spans="1:6" x14ac:dyDescent="0.2">
      <c r="A481" t="s">
        <v>526</v>
      </c>
      <c r="B481" t="s">
        <v>654</v>
      </c>
      <c r="C481" t="s">
        <v>380</v>
      </c>
      <c r="D481" t="s">
        <v>528</v>
      </c>
      <c r="E481" t="s">
        <v>655</v>
      </c>
      <c r="F481" t="s">
        <v>359</v>
      </c>
    </row>
    <row r="482" spans="1:6" x14ac:dyDescent="0.2">
      <c r="A482" t="s">
        <v>526</v>
      </c>
      <c r="B482" t="s">
        <v>656</v>
      </c>
      <c r="C482" t="s">
        <v>380</v>
      </c>
      <c r="D482" t="s">
        <v>27</v>
      </c>
      <c r="E482" t="s">
        <v>657</v>
      </c>
    </row>
    <row r="483" spans="1:6" x14ac:dyDescent="0.2">
      <c r="A483" t="s">
        <v>526</v>
      </c>
      <c r="B483" t="s">
        <v>658</v>
      </c>
      <c r="C483" t="s">
        <v>380</v>
      </c>
      <c r="D483" t="s">
        <v>27</v>
      </c>
      <c r="E483" t="s">
        <v>659</v>
      </c>
    </row>
    <row r="484" spans="1:6" x14ac:dyDescent="0.2">
      <c r="A484" t="s">
        <v>526</v>
      </c>
      <c r="B484" t="s">
        <v>660</v>
      </c>
      <c r="C484" t="s">
        <v>380</v>
      </c>
      <c r="D484" t="s">
        <v>27</v>
      </c>
      <c r="E484" t="s">
        <v>661</v>
      </c>
    </row>
    <row r="485" spans="1:6" x14ac:dyDescent="0.2">
      <c r="A485" t="s">
        <v>526</v>
      </c>
      <c r="B485" t="s">
        <v>662</v>
      </c>
      <c r="C485" t="s">
        <v>380</v>
      </c>
      <c r="D485" t="s">
        <v>27</v>
      </c>
      <c r="E485" t="s">
        <v>334</v>
      </c>
    </row>
    <row r="486" spans="1:6" x14ac:dyDescent="0.2">
      <c r="A486" t="s">
        <v>526</v>
      </c>
      <c r="B486" t="s">
        <v>663</v>
      </c>
      <c r="C486" t="s">
        <v>664</v>
      </c>
      <c r="D486" t="s">
        <v>566</v>
      </c>
      <c r="E486" t="s">
        <v>665</v>
      </c>
    </row>
    <row r="487" spans="1:6" x14ac:dyDescent="0.2">
      <c r="A487" t="s">
        <v>526</v>
      </c>
      <c r="B487" t="s">
        <v>666</v>
      </c>
      <c r="C487" t="s">
        <v>380</v>
      </c>
      <c r="D487" t="s">
        <v>566</v>
      </c>
      <c r="E487" t="s">
        <v>667</v>
      </c>
    </row>
    <row r="488" spans="1:6" x14ac:dyDescent="0.2">
      <c r="A488" t="s">
        <v>526</v>
      </c>
      <c r="B488" t="s">
        <v>668</v>
      </c>
      <c r="C488" t="s">
        <v>380</v>
      </c>
      <c r="D488" t="s">
        <v>566</v>
      </c>
      <c r="E488" t="s">
        <v>667</v>
      </c>
    </row>
    <row r="489" spans="1:6" x14ac:dyDescent="0.2">
      <c r="A489" t="s">
        <v>526</v>
      </c>
      <c r="B489" t="s">
        <v>669</v>
      </c>
      <c r="C489" t="s">
        <v>380</v>
      </c>
      <c r="D489" t="s">
        <v>566</v>
      </c>
      <c r="E489" t="s">
        <v>655</v>
      </c>
      <c r="F489" t="s">
        <v>670</v>
      </c>
    </row>
    <row r="490" spans="1:6" x14ac:dyDescent="0.2">
      <c r="A490" t="s">
        <v>526</v>
      </c>
      <c r="B490" t="s">
        <v>671</v>
      </c>
      <c r="C490" t="s">
        <v>380</v>
      </c>
      <c r="D490" t="s">
        <v>566</v>
      </c>
      <c r="E490" t="s">
        <v>672</v>
      </c>
    </row>
    <row r="491" spans="1:6" x14ac:dyDescent="0.2">
      <c r="A491" t="s">
        <v>526</v>
      </c>
      <c r="B491" t="s">
        <v>673</v>
      </c>
      <c r="C491" t="s">
        <v>664</v>
      </c>
      <c r="D491" t="s">
        <v>269</v>
      </c>
      <c r="E491" t="s">
        <v>674</v>
      </c>
    </row>
    <row r="492" spans="1:6" x14ac:dyDescent="0.2">
      <c r="A492" t="s">
        <v>526</v>
      </c>
      <c r="B492" t="s">
        <v>675</v>
      </c>
      <c r="C492" t="s">
        <v>380</v>
      </c>
      <c r="D492" t="s">
        <v>269</v>
      </c>
      <c r="E492" t="s">
        <v>676</v>
      </c>
    </row>
    <row r="493" spans="1:6" x14ac:dyDescent="0.2">
      <c r="A493" t="s">
        <v>526</v>
      </c>
      <c r="B493" t="s">
        <v>677</v>
      </c>
      <c r="C493" t="s">
        <v>380</v>
      </c>
      <c r="D493" t="s">
        <v>50</v>
      </c>
      <c r="E493" t="s">
        <v>678</v>
      </c>
    </row>
    <row r="494" spans="1:6" x14ac:dyDescent="0.2">
      <c r="A494" t="s">
        <v>526</v>
      </c>
      <c r="B494" t="s">
        <v>679</v>
      </c>
      <c r="C494" t="s">
        <v>380</v>
      </c>
      <c r="D494" t="s">
        <v>50</v>
      </c>
      <c r="E494" t="s">
        <v>680</v>
      </c>
    </row>
    <row r="495" spans="1:6" x14ac:dyDescent="0.2">
      <c r="A495" t="s">
        <v>526</v>
      </c>
      <c r="B495" t="s">
        <v>681</v>
      </c>
      <c r="C495" t="s">
        <v>380</v>
      </c>
      <c r="D495" t="s">
        <v>434</v>
      </c>
      <c r="E495" t="s">
        <v>682</v>
      </c>
    </row>
    <row r="496" spans="1:6" x14ac:dyDescent="0.2">
      <c r="A496" t="s">
        <v>526</v>
      </c>
      <c r="B496" t="s">
        <v>683</v>
      </c>
      <c r="C496" t="s">
        <v>380</v>
      </c>
      <c r="D496" t="s">
        <v>434</v>
      </c>
      <c r="E496" t="s">
        <v>684</v>
      </c>
    </row>
    <row r="497" spans="1:6" x14ac:dyDescent="0.2">
      <c r="A497" t="s">
        <v>526</v>
      </c>
      <c r="B497" t="s">
        <v>685</v>
      </c>
      <c r="C497" t="s">
        <v>380</v>
      </c>
      <c r="D497" t="s">
        <v>434</v>
      </c>
      <c r="E497" t="s">
        <v>661</v>
      </c>
    </row>
    <row r="498" spans="1:6" x14ac:dyDescent="0.2">
      <c r="A498" t="s">
        <v>526</v>
      </c>
      <c r="B498" t="s">
        <v>686</v>
      </c>
      <c r="C498" t="s">
        <v>380</v>
      </c>
      <c r="D498" t="s">
        <v>434</v>
      </c>
      <c r="E498" t="s">
        <v>687</v>
      </c>
    </row>
    <row r="499" spans="1:6" x14ac:dyDescent="0.2">
      <c r="A499" t="s">
        <v>526</v>
      </c>
      <c r="B499" t="s">
        <v>688</v>
      </c>
      <c r="C499" t="s">
        <v>380</v>
      </c>
      <c r="D499" t="s">
        <v>566</v>
      </c>
      <c r="E499" t="s">
        <v>121</v>
      </c>
    </row>
    <row r="500" spans="1:6" x14ac:dyDescent="0.2">
      <c r="A500" t="s">
        <v>526</v>
      </c>
      <c r="B500" t="s">
        <v>689</v>
      </c>
      <c r="C500" t="s">
        <v>380</v>
      </c>
      <c r="D500" t="s">
        <v>566</v>
      </c>
      <c r="E500" t="s">
        <v>655</v>
      </c>
      <c r="F500" t="s">
        <v>690</v>
      </c>
    </row>
    <row r="501" spans="1:6" x14ac:dyDescent="0.2">
      <c r="A501" t="s">
        <v>526</v>
      </c>
      <c r="B501" t="s">
        <v>691</v>
      </c>
      <c r="C501" t="s">
        <v>380</v>
      </c>
      <c r="D501" t="s">
        <v>434</v>
      </c>
      <c r="E501" t="s">
        <v>426</v>
      </c>
    </row>
    <row r="502" spans="1:6" x14ac:dyDescent="0.2">
      <c r="A502" t="s">
        <v>526</v>
      </c>
      <c r="B502" t="s">
        <v>692</v>
      </c>
      <c r="C502" t="s">
        <v>380</v>
      </c>
      <c r="D502" t="s">
        <v>528</v>
      </c>
    </row>
    <row r="503" spans="1:6" x14ac:dyDescent="0.2">
      <c r="A503" t="s">
        <v>526</v>
      </c>
      <c r="B503" t="s">
        <v>693</v>
      </c>
      <c r="C503" t="s">
        <v>380</v>
      </c>
      <c r="D503" t="s">
        <v>566</v>
      </c>
    </row>
    <row r="504" spans="1:6" x14ac:dyDescent="0.2">
      <c r="A504" t="s">
        <v>526</v>
      </c>
      <c r="B504" t="s">
        <v>694</v>
      </c>
      <c r="C504" t="s">
        <v>380</v>
      </c>
      <c r="D504" t="s">
        <v>566</v>
      </c>
    </row>
    <row r="505" spans="1:6" x14ac:dyDescent="0.2">
      <c r="A505" t="s">
        <v>526</v>
      </c>
      <c r="B505" t="s">
        <v>695</v>
      </c>
      <c r="C505" t="s">
        <v>380</v>
      </c>
      <c r="D505" t="s">
        <v>566</v>
      </c>
    </row>
    <row r="506" spans="1:6" x14ac:dyDescent="0.2">
      <c r="A506" t="s">
        <v>526</v>
      </c>
      <c r="B506" t="s">
        <v>696</v>
      </c>
      <c r="C506" t="s">
        <v>380</v>
      </c>
      <c r="D506" t="s">
        <v>566</v>
      </c>
    </row>
    <row r="507" spans="1:6" x14ac:dyDescent="0.2">
      <c r="A507" t="s">
        <v>526</v>
      </c>
      <c r="B507" t="s">
        <v>697</v>
      </c>
      <c r="C507" t="s">
        <v>380</v>
      </c>
      <c r="D507" t="s">
        <v>566</v>
      </c>
    </row>
    <row r="508" spans="1:6" x14ac:dyDescent="0.2">
      <c r="A508" t="s">
        <v>526</v>
      </c>
      <c r="B508" t="s">
        <v>698</v>
      </c>
      <c r="C508" t="s">
        <v>380</v>
      </c>
      <c r="D508" t="s">
        <v>566</v>
      </c>
    </row>
    <row r="509" spans="1:6" x14ac:dyDescent="0.2">
      <c r="A509" t="s">
        <v>526</v>
      </c>
      <c r="B509" t="s">
        <v>699</v>
      </c>
      <c r="C509" t="s">
        <v>380</v>
      </c>
      <c r="D509" t="s">
        <v>566</v>
      </c>
    </row>
    <row r="510" spans="1:6" x14ac:dyDescent="0.2">
      <c r="A510" t="s">
        <v>526</v>
      </c>
      <c r="B510" t="s">
        <v>700</v>
      </c>
      <c r="C510" t="s">
        <v>380</v>
      </c>
      <c r="D510" t="s">
        <v>566</v>
      </c>
    </row>
    <row r="511" spans="1:6" x14ac:dyDescent="0.2">
      <c r="A511" t="s">
        <v>526</v>
      </c>
      <c r="B511" t="s">
        <v>701</v>
      </c>
      <c r="C511" t="s">
        <v>380</v>
      </c>
      <c r="D511" t="s">
        <v>566</v>
      </c>
    </row>
    <row r="512" spans="1:6" x14ac:dyDescent="0.2">
      <c r="A512" t="s">
        <v>526</v>
      </c>
      <c r="B512" t="s">
        <v>702</v>
      </c>
      <c r="C512" t="s">
        <v>380</v>
      </c>
      <c r="D512" t="s">
        <v>566</v>
      </c>
    </row>
    <row r="513" spans="1:4" x14ac:dyDescent="0.2">
      <c r="A513" t="s">
        <v>526</v>
      </c>
      <c r="B513" t="s">
        <v>703</v>
      </c>
      <c r="C513" t="s">
        <v>380</v>
      </c>
      <c r="D513" t="s">
        <v>566</v>
      </c>
    </row>
    <row r="514" spans="1:4" x14ac:dyDescent="0.2">
      <c r="A514" t="s">
        <v>526</v>
      </c>
      <c r="B514" t="s">
        <v>704</v>
      </c>
      <c r="C514" t="s">
        <v>380</v>
      </c>
      <c r="D514" t="s">
        <v>566</v>
      </c>
    </row>
    <row r="515" spans="1:4" x14ac:dyDescent="0.2">
      <c r="A515" t="s">
        <v>526</v>
      </c>
      <c r="B515" t="s">
        <v>705</v>
      </c>
      <c r="C515" t="s">
        <v>380</v>
      </c>
      <c r="D515" t="s">
        <v>566</v>
      </c>
    </row>
    <row r="516" spans="1:4" x14ac:dyDescent="0.2">
      <c r="A516" t="s">
        <v>706</v>
      </c>
      <c r="B516" t="s">
        <v>707</v>
      </c>
      <c r="C516" t="s">
        <v>199</v>
      </c>
      <c r="D516" t="s">
        <v>708</v>
      </c>
    </row>
    <row r="517" spans="1:4" x14ac:dyDescent="0.2">
      <c r="A517" t="s">
        <v>706</v>
      </c>
      <c r="B517" t="s">
        <v>709</v>
      </c>
      <c r="C517" t="s">
        <v>199</v>
      </c>
      <c r="D517" t="s">
        <v>710</v>
      </c>
    </row>
    <row r="518" spans="1:4" x14ac:dyDescent="0.2">
      <c r="A518" t="s">
        <v>706</v>
      </c>
      <c r="B518" t="s">
        <v>711</v>
      </c>
      <c r="C518" t="s">
        <v>199</v>
      </c>
      <c r="D518" t="s">
        <v>710</v>
      </c>
    </row>
    <row r="519" spans="1:4" x14ac:dyDescent="0.2">
      <c r="A519" t="s">
        <v>706</v>
      </c>
      <c r="B519" t="s">
        <v>712</v>
      </c>
      <c r="C519" t="s">
        <v>199</v>
      </c>
      <c r="D519" t="s">
        <v>713</v>
      </c>
    </row>
    <row r="520" spans="1:4" x14ac:dyDescent="0.2">
      <c r="A520" t="s">
        <v>706</v>
      </c>
      <c r="B520" t="s">
        <v>714</v>
      </c>
      <c r="C520" t="s">
        <v>199</v>
      </c>
      <c r="D520" t="s">
        <v>200</v>
      </c>
    </row>
    <row r="521" spans="1:4" x14ac:dyDescent="0.2">
      <c r="A521" t="s">
        <v>706</v>
      </c>
      <c r="B521" t="s">
        <v>715</v>
      </c>
      <c r="C521" t="s">
        <v>199</v>
      </c>
      <c r="D521" t="s">
        <v>200</v>
      </c>
    </row>
    <row r="522" spans="1:4" x14ac:dyDescent="0.2">
      <c r="A522" t="s">
        <v>706</v>
      </c>
      <c r="B522" t="s">
        <v>716</v>
      </c>
      <c r="C522" t="s">
        <v>199</v>
      </c>
      <c r="D522" t="s">
        <v>200</v>
      </c>
    </row>
    <row r="523" spans="1:4" x14ac:dyDescent="0.2">
      <c r="A523" t="s">
        <v>706</v>
      </c>
      <c r="B523" t="s">
        <v>717</v>
      </c>
      <c r="C523" t="s">
        <v>199</v>
      </c>
      <c r="D523" t="s">
        <v>718</v>
      </c>
    </row>
    <row r="524" spans="1:4" x14ac:dyDescent="0.2">
      <c r="A524" t="s">
        <v>706</v>
      </c>
      <c r="B524" t="s">
        <v>719</v>
      </c>
      <c r="C524" t="s">
        <v>199</v>
      </c>
      <c r="D524" t="s">
        <v>718</v>
      </c>
    </row>
    <row r="525" spans="1:4" x14ac:dyDescent="0.2">
      <c r="A525" t="s">
        <v>706</v>
      </c>
      <c r="B525" t="s">
        <v>720</v>
      </c>
      <c r="C525" t="s">
        <v>199</v>
      </c>
      <c r="D525" t="s">
        <v>718</v>
      </c>
    </row>
    <row r="526" spans="1:4" x14ac:dyDescent="0.2">
      <c r="A526" t="s">
        <v>706</v>
      </c>
      <c r="B526" t="s">
        <v>721</v>
      </c>
      <c r="C526" t="s">
        <v>199</v>
      </c>
      <c r="D526" t="s">
        <v>718</v>
      </c>
    </row>
    <row r="527" spans="1:4" x14ac:dyDescent="0.2">
      <c r="A527" t="s">
        <v>706</v>
      </c>
      <c r="B527" t="s">
        <v>722</v>
      </c>
      <c r="C527" t="s">
        <v>199</v>
      </c>
      <c r="D527" t="s">
        <v>718</v>
      </c>
    </row>
    <row r="528" spans="1:4" x14ac:dyDescent="0.2">
      <c r="A528" t="s">
        <v>706</v>
      </c>
      <c r="B528" t="s">
        <v>723</v>
      </c>
      <c r="C528" t="s">
        <v>199</v>
      </c>
      <c r="D528" t="s">
        <v>724</v>
      </c>
    </row>
    <row r="529" spans="1:4" x14ac:dyDescent="0.2">
      <c r="A529" t="s">
        <v>706</v>
      </c>
      <c r="B529" t="s">
        <v>725</v>
      </c>
      <c r="C529" t="s">
        <v>199</v>
      </c>
      <c r="D529" t="s">
        <v>214</v>
      </c>
    </row>
    <row r="530" spans="1:4" x14ac:dyDescent="0.2">
      <c r="A530" t="s">
        <v>706</v>
      </c>
      <c r="B530" t="s">
        <v>726</v>
      </c>
      <c r="C530" t="s">
        <v>199</v>
      </c>
      <c r="D530" t="s">
        <v>214</v>
      </c>
    </row>
    <row r="531" spans="1:4" x14ac:dyDescent="0.2">
      <c r="A531" t="s">
        <v>706</v>
      </c>
      <c r="B531" t="s">
        <v>727</v>
      </c>
      <c r="C531" t="s">
        <v>199</v>
      </c>
      <c r="D531" t="s">
        <v>214</v>
      </c>
    </row>
    <row r="532" spans="1:4" x14ac:dyDescent="0.2">
      <c r="A532" t="s">
        <v>706</v>
      </c>
      <c r="B532" t="s">
        <v>728</v>
      </c>
      <c r="C532" t="s">
        <v>199</v>
      </c>
      <c r="D532" t="s">
        <v>214</v>
      </c>
    </row>
    <row r="533" spans="1:4" x14ac:dyDescent="0.2">
      <c r="A533" t="s">
        <v>706</v>
      </c>
      <c r="B533" t="s">
        <v>729</v>
      </c>
      <c r="C533" t="s">
        <v>199</v>
      </c>
      <c r="D533" t="s">
        <v>730</v>
      </c>
    </row>
    <row r="534" spans="1:4" x14ac:dyDescent="0.2">
      <c r="A534" t="s">
        <v>706</v>
      </c>
      <c r="B534" t="s">
        <v>731</v>
      </c>
      <c r="C534" t="s">
        <v>199</v>
      </c>
      <c r="D534" t="s">
        <v>732</v>
      </c>
    </row>
    <row r="535" spans="1:4" x14ac:dyDescent="0.2">
      <c r="A535" t="s">
        <v>706</v>
      </c>
      <c r="B535" t="s">
        <v>733</v>
      </c>
      <c r="C535" t="s">
        <v>199</v>
      </c>
      <c r="D535" t="s">
        <v>334</v>
      </c>
    </row>
    <row r="536" spans="1:4" x14ac:dyDescent="0.2">
      <c r="A536" t="s">
        <v>706</v>
      </c>
      <c r="B536" t="s">
        <v>734</v>
      </c>
      <c r="C536" t="s">
        <v>199</v>
      </c>
      <c r="D536" t="s">
        <v>334</v>
      </c>
    </row>
    <row r="537" spans="1:4" x14ac:dyDescent="0.2">
      <c r="A537" t="s">
        <v>706</v>
      </c>
      <c r="B537" t="s">
        <v>735</v>
      </c>
      <c r="C537" t="s">
        <v>199</v>
      </c>
      <c r="D537" t="s">
        <v>736</v>
      </c>
    </row>
    <row r="538" spans="1:4" x14ac:dyDescent="0.2">
      <c r="A538" t="s">
        <v>706</v>
      </c>
      <c r="B538" t="s">
        <v>737</v>
      </c>
      <c r="C538" t="s">
        <v>199</v>
      </c>
      <c r="D538" t="s">
        <v>376</v>
      </c>
    </row>
    <row r="539" spans="1:4" x14ac:dyDescent="0.2">
      <c r="A539" t="s">
        <v>706</v>
      </c>
      <c r="B539" t="s">
        <v>738</v>
      </c>
      <c r="C539" t="s">
        <v>199</v>
      </c>
      <c r="D539" t="s">
        <v>739</v>
      </c>
    </row>
    <row r="540" spans="1:4" x14ac:dyDescent="0.2">
      <c r="A540" t="s">
        <v>706</v>
      </c>
      <c r="B540" t="s">
        <v>740</v>
      </c>
      <c r="C540" t="s">
        <v>199</v>
      </c>
      <c r="D540" t="s">
        <v>741</v>
      </c>
    </row>
    <row r="541" spans="1:4" x14ac:dyDescent="0.2">
      <c r="A541" t="s">
        <v>706</v>
      </c>
      <c r="B541" t="s">
        <v>742</v>
      </c>
      <c r="C541" t="s">
        <v>199</v>
      </c>
      <c r="D541" t="s">
        <v>743</v>
      </c>
    </row>
    <row r="542" spans="1:4" x14ac:dyDescent="0.2">
      <c r="A542" t="s">
        <v>706</v>
      </c>
      <c r="B542" t="s">
        <v>744</v>
      </c>
      <c r="C542" t="s">
        <v>199</v>
      </c>
      <c r="D542" t="s">
        <v>745</v>
      </c>
    </row>
    <row r="543" spans="1:4" x14ac:dyDescent="0.2">
      <c r="A543" t="s">
        <v>706</v>
      </c>
      <c r="B543" t="s">
        <v>746</v>
      </c>
      <c r="C543" t="s">
        <v>199</v>
      </c>
      <c r="D543" t="s">
        <v>747</v>
      </c>
    </row>
    <row r="544" spans="1:4" x14ac:dyDescent="0.2">
      <c r="A544" t="s">
        <v>706</v>
      </c>
      <c r="B544" t="s">
        <v>748</v>
      </c>
      <c r="C544" t="s">
        <v>246</v>
      </c>
      <c r="D544" t="s">
        <v>243</v>
      </c>
    </row>
    <row r="545" spans="1:4" x14ac:dyDescent="0.2">
      <c r="A545" t="s">
        <v>706</v>
      </c>
      <c r="B545" t="s">
        <v>749</v>
      </c>
      <c r="C545" t="s">
        <v>2</v>
      </c>
      <c r="D545" t="s">
        <v>750</v>
      </c>
    </row>
    <row r="546" spans="1:4" x14ac:dyDescent="0.2">
      <c r="A546" t="s">
        <v>706</v>
      </c>
      <c r="B546" t="s">
        <v>751</v>
      </c>
      <c r="C546" t="s">
        <v>2</v>
      </c>
      <c r="D546" t="s">
        <v>187</v>
      </c>
    </row>
    <row r="547" spans="1:4" x14ac:dyDescent="0.2">
      <c r="A547" t="s">
        <v>706</v>
      </c>
      <c r="B547" t="s">
        <v>752</v>
      </c>
      <c r="C547" t="s">
        <v>2</v>
      </c>
      <c r="D547" t="s">
        <v>753</v>
      </c>
    </row>
    <row r="548" spans="1:4" x14ac:dyDescent="0.2">
      <c r="A548" t="s">
        <v>706</v>
      </c>
      <c r="B548" t="s">
        <v>754</v>
      </c>
      <c r="C548" t="s">
        <v>199</v>
      </c>
      <c r="D548" t="s">
        <v>334</v>
      </c>
    </row>
    <row r="549" spans="1:4" x14ac:dyDescent="0.2">
      <c r="A549" t="s">
        <v>706</v>
      </c>
      <c r="B549" t="s">
        <v>755</v>
      </c>
      <c r="C549" t="s">
        <v>80</v>
      </c>
      <c r="D549" t="s">
        <v>756</v>
      </c>
    </row>
    <row r="550" spans="1:4" x14ac:dyDescent="0.2">
      <c r="A550" t="s">
        <v>706</v>
      </c>
      <c r="B550" t="s">
        <v>757</v>
      </c>
      <c r="C550" t="s">
        <v>80</v>
      </c>
      <c r="D550" t="s">
        <v>756</v>
      </c>
    </row>
    <row r="551" spans="1:4" x14ac:dyDescent="0.2">
      <c r="A551" t="s">
        <v>706</v>
      </c>
      <c r="B551" t="s">
        <v>758</v>
      </c>
      <c r="C551" t="s">
        <v>80</v>
      </c>
      <c r="D551" t="s">
        <v>240</v>
      </c>
    </row>
    <row r="552" spans="1:4" x14ac:dyDescent="0.2">
      <c r="A552" t="s">
        <v>706</v>
      </c>
      <c r="B552" t="s">
        <v>759</v>
      </c>
      <c r="C552" t="s">
        <v>199</v>
      </c>
      <c r="D552" t="s">
        <v>760</v>
      </c>
    </row>
    <row r="553" spans="1:4" x14ac:dyDescent="0.2">
      <c r="A553" t="s">
        <v>706</v>
      </c>
      <c r="B553" t="s">
        <v>761</v>
      </c>
      <c r="C553" t="s">
        <v>199</v>
      </c>
      <c r="D553" t="s">
        <v>760</v>
      </c>
    </row>
    <row r="554" spans="1:4" x14ac:dyDescent="0.2">
      <c r="A554" t="s">
        <v>706</v>
      </c>
      <c r="B554" t="s">
        <v>762</v>
      </c>
      <c r="C554" t="s">
        <v>199</v>
      </c>
      <c r="D554" t="s">
        <v>763</v>
      </c>
    </row>
    <row r="555" spans="1:4" x14ac:dyDescent="0.2">
      <c r="A555" t="s">
        <v>706</v>
      </c>
      <c r="B555" t="s">
        <v>764</v>
      </c>
      <c r="C555" t="s">
        <v>199</v>
      </c>
      <c r="D555" t="s">
        <v>763</v>
      </c>
    </row>
    <row r="556" spans="1:4" x14ac:dyDescent="0.2">
      <c r="A556" t="s">
        <v>706</v>
      </c>
      <c r="B556" t="s">
        <v>765</v>
      </c>
      <c r="C556" t="s">
        <v>199</v>
      </c>
    </row>
    <row r="557" spans="1:4" x14ac:dyDescent="0.2">
      <c r="A557" t="s">
        <v>706</v>
      </c>
      <c r="B557" t="s">
        <v>766</v>
      </c>
    </row>
    <row r="558" spans="1:4" x14ac:dyDescent="0.2">
      <c r="A558" t="s">
        <v>706</v>
      </c>
      <c r="B558" t="s">
        <v>767</v>
      </c>
      <c r="C558" t="s">
        <v>199</v>
      </c>
      <c r="D558" t="s">
        <v>710</v>
      </c>
    </row>
    <row r="559" spans="1:4" x14ac:dyDescent="0.2">
      <c r="A559" t="s">
        <v>706</v>
      </c>
      <c r="B559" t="s">
        <v>768</v>
      </c>
      <c r="C559" t="s">
        <v>2</v>
      </c>
    </row>
    <row r="560" spans="1:4" x14ac:dyDescent="0.2">
      <c r="A560" t="s">
        <v>706</v>
      </c>
      <c r="B560" t="s">
        <v>769</v>
      </c>
    </row>
    <row r="561" spans="1:4" x14ac:dyDescent="0.2">
      <c r="A561" t="s">
        <v>770</v>
      </c>
      <c r="B561" t="s">
        <v>771</v>
      </c>
    </row>
    <row r="562" spans="1:4" x14ac:dyDescent="0.2">
      <c r="A562" t="s">
        <v>772</v>
      </c>
      <c r="B562" t="s">
        <v>773</v>
      </c>
      <c r="C562" t="s">
        <v>109</v>
      </c>
      <c r="D562" t="s">
        <v>774</v>
      </c>
    </row>
    <row r="563" spans="1:4" x14ac:dyDescent="0.2">
      <c r="A563" t="s">
        <v>772</v>
      </c>
      <c r="B563" t="s">
        <v>775</v>
      </c>
      <c r="C563" t="s">
        <v>109</v>
      </c>
      <c r="D563" t="s">
        <v>277</v>
      </c>
    </row>
    <row r="564" spans="1:4" x14ac:dyDescent="0.2">
      <c r="A564" t="s">
        <v>772</v>
      </c>
      <c r="B564" t="s">
        <v>776</v>
      </c>
      <c r="C564" t="s">
        <v>109</v>
      </c>
      <c r="D564" t="s">
        <v>277</v>
      </c>
    </row>
    <row r="565" spans="1:4" x14ac:dyDescent="0.2">
      <c r="A565" t="s">
        <v>772</v>
      </c>
      <c r="B565" t="s">
        <v>777</v>
      </c>
      <c r="C565" t="s">
        <v>109</v>
      </c>
      <c r="D565" t="s">
        <v>778</v>
      </c>
    </row>
    <row r="566" spans="1:4" x14ac:dyDescent="0.2">
      <c r="A566" t="s">
        <v>772</v>
      </c>
      <c r="B566" t="s">
        <v>779</v>
      </c>
      <c r="C566" t="s">
        <v>80</v>
      </c>
      <c r="D566" t="s">
        <v>649</v>
      </c>
    </row>
    <row r="567" spans="1:4" x14ac:dyDescent="0.2">
      <c r="A567" t="s">
        <v>772</v>
      </c>
      <c r="B567" t="s">
        <v>780</v>
      </c>
      <c r="C567" t="s">
        <v>80</v>
      </c>
      <c r="D567" t="s">
        <v>781</v>
      </c>
    </row>
    <row r="568" spans="1:4" x14ac:dyDescent="0.2">
      <c r="A568" t="s">
        <v>772</v>
      </c>
      <c r="B568" t="s">
        <v>782</v>
      </c>
      <c r="C568" t="s">
        <v>80</v>
      </c>
      <c r="D568" t="s">
        <v>783</v>
      </c>
    </row>
    <row r="569" spans="1:4" x14ac:dyDescent="0.2">
      <c r="A569" t="s">
        <v>772</v>
      </c>
      <c r="B569" t="s">
        <v>784</v>
      </c>
      <c r="C569" t="s">
        <v>80</v>
      </c>
      <c r="D569" t="s">
        <v>391</v>
      </c>
    </row>
    <row r="570" spans="1:4" x14ac:dyDescent="0.2">
      <c r="A570" t="s">
        <v>772</v>
      </c>
      <c r="B570" t="s">
        <v>785</v>
      </c>
      <c r="C570" t="s">
        <v>80</v>
      </c>
      <c r="D570" t="s">
        <v>154</v>
      </c>
    </row>
    <row r="571" spans="1:4" x14ac:dyDescent="0.2">
      <c r="A571" t="s">
        <v>772</v>
      </c>
      <c r="B571" t="s">
        <v>786</v>
      </c>
      <c r="C571" t="s">
        <v>80</v>
      </c>
      <c r="D571" t="s">
        <v>391</v>
      </c>
    </row>
    <row r="572" spans="1:4" x14ac:dyDescent="0.2">
      <c r="A572" t="s">
        <v>772</v>
      </c>
      <c r="B572" t="s">
        <v>787</v>
      </c>
    </row>
    <row r="573" spans="1:4" x14ac:dyDescent="0.2">
      <c r="A573" t="s">
        <v>772</v>
      </c>
      <c r="B573" t="s">
        <v>788</v>
      </c>
      <c r="C573" t="s">
        <v>109</v>
      </c>
    </row>
    <row r="574" spans="1:4" x14ac:dyDescent="0.2">
      <c r="A574" t="s">
        <v>772</v>
      </c>
      <c r="B574" t="s">
        <v>772</v>
      </c>
      <c r="C574" t="s">
        <v>789</v>
      </c>
      <c r="D574" t="s">
        <v>109</v>
      </c>
    </row>
    <row r="575" spans="1:4" x14ac:dyDescent="0.2">
      <c r="A575" t="s">
        <v>772</v>
      </c>
      <c r="B575" t="s">
        <v>772</v>
      </c>
      <c r="C575" t="s">
        <v>790</v>
      </c>
      <c r="D575" t="s">
        <v>109</v>
      </c>
    </row>
    <row r="576" spans="1:4" x14ac:dyDescent="0.2">
      <c r="A576" t="s">
        <v>772</v>
      </c>
      <c r="B576" t="s">
        <v>772</v>
      </c>
      <c r="C576" t="s">
        <v>791</v>
      </c>
      <c r="D576" t="s">
        <v>109</v>
      </c>
    </row>
    <row r="577" spans="1:6" x14ac:dyDescent="0.2">
      <c r="A577" t="s">
        <v>792</v>
      </c>
      <c r="B577" t="s">
        <v>793</v>
      </c>
      <c r="C577" t="s">
        <v>794</v>
      </c>
      <c r="D577" t="s">
        <v>795</v>
      </c>
      <c r="E577" t="s">
        <v>796</v>
      </c>
      <c r="F577" t="s">
        <v>797</v>
      </c>
    </row>
    <row r="578" spans="1:6" x14ac:dyDescent="0.2">
      <c r="A578" t="s">
        <v>798</v>
      </c>
      <c r="B578" t="s">
        <v>799</v>
      </c>
    </row>
    <row r="579" spans="1:6" x14ac:dyDescent="0.2">
      <c r="A579" t="s">
        <v>800</v>
      </c>
      <c r="B579" t="s">
        <v>801</v>
      </c>
    </row>
    <row r="580" spans="1:6" x14ac:dyDescent="0.2">
      <c r="A580" t="s">
        <v>802</v>
      </c>
      <c r="B580" t="s">
        <v>803</v>
      </c>
      <c r="C580" t="s">
        <v>804</v>
      </c>
    </row>
    <row r="581" spans="1:6" x14ac:dyDescent="0.2">
      <c r="A581" t="s">
        <v>805</v>
      </c>
      <c r="B581" t="s">
        <v>806</v>
      </c>
      <c r="C581" t="s">
        <v>807</v>
      </c>
    </row>
    <row r="582" spans="1:6" x14ac:dyDescent="0.2">
      <c r="A582" t="s">
        <v>808</v>
      </c>
      <c r="B582" t="s">
        <v>809</v>
      </c>
    </row>
    <row r="583" spans="1:6" x14ac:dyDescent="0.2">
      <c r="A583" t="s">
        <v>808</v>
      </c>
      <c r="B583" t="s">
        <v>810</v>
      </c>
      <c r="C583" t="s">
        <v>807</v>
      </c>
      <c r="D583" t="s">
        <v>811</v>
      </c>
    </row>
    <row r="584" spans="1:6" x14ac:dyDescent="0.2">
      <c r="A584" t="s">
        <v>812</v>
      </c>
      <c r="B584" t="s">
        <v>813</v>
      </c>
      <c r="C584" t="s">
        <v>80</v>
      </c>
    </row>
    <row r="585" spans="1:6" x14ac:dyDescent="0.2">
      <c r="A585" t="s">
        <v>812</v>
      </c>
      <c r="B585" t="s">
        <v>814</v>
      </c>
      <c r="C585" t="s">
        <v>80</v>
      </c>
    </row>
    <row r="586" spans="1:6" x14ac:dyDescent="0.2">
      <c r="A586" t="s">
        <v>812</v>
      </c>
      <c r="B586" t="s">
        <v>815</v>
      </c>
      <c r="C586" t="s">
        <v>80</v>
      </c>
    </row>
    <row r="587" spans="1:6" x14ac:dyDescent="0.2">
      <c r="A587" t="s">
        <v>812</v>
      </c>
      <c r="B587" t="s">
        <v>816</v>
      </c>
      <c r="C587" t="s">
        <v>80</v>
      </c>
    </row>
    <row r="588" spans="1:6" x14ac:dyDescent="0.2">
      <c r="A588" t="s">
        <v>817</v>
      </c>
      <c r="B588" t="s">
        <v>818</v>
      </c>
      <c r="C588" t="s">
        <v>199</v>
      </c>
    </row>
    <row r="589" spans="1:6" x14ac:dyDescent="0.2">
      <c r="A589" t="s">
        <v>817</v>
      </c>
      <c r="B589" t="s">
        <v>819</v>
      </c>
      <c r="C589" t="s">
        <v>21</v>
      </c>
    </row>
    <row r="590" spans="1:6" x14ac:dyDescent="0.2">
      <c r="A590" t="s">
        <v>817</v>
      </c>
      <c r="B590" t="s">
        <v>820</v>
      </c>
    </row>
    <row r="591" spans="1:6" x14ac:dyDescent="0.2">
      <c r="A591" t="s">
        <v>817</v>
      </c>
      <c r="B591" t="s">
        <v>821</v>
      </c>
      <c r="C591" t="s">
        <v>71</v>
      </c>
    </row>
    <row r="592" spans="1:6" x14ac:dyDescent="0.2">
      <c r="A592" t="s">
        <v>817</v>
      </c>
      <c r="B592" t="s">
        <v>822</v>
      </c>
      <c r="C592" t="s">
        <v>71</v>
      </c>
    </row>
    <row r="593" spans="1:4" x14ac:dyDescent="0.2">
      <c r="A593" t="s">
        <v>817</v>
      </c>
      <c r="B593" t="s">
        <v>823</v>
      </c>
      <c r="C593" t="s">
        <v>71</v>
      </c>
    </row>
    <row r="594" spans="1:4" x14ac:dyDescent="0.2">
      <c r="A594" t="s">
        <v>817</v>
      </c>
      <c r="B594" t="s">
        <v>824</v>
      </c>
      <c r="C594" t="s">
        <v>71</v>
      </c>
    </row>
    <row r="595" spans="1:4" x14ac:dyDescent="0.2">
      <c r="A595" t="s">
        <v>817</v>
      </c>
      <c r="B595" t="s">
        <v>825</v>
      </c>
      <c r="C595" t="s">
        <v>199</v>
      </c>
    </row>
    <row r="596" spans="1:4" x14ac:dyDescent="0.2">
      <c r="A596" t="s">
        <v>817</v>
      </c>
      <c r="B596" t="s">
        <v>826</v>
      </c>
      <c r="C596" t="s">
        <v>199</v>
      </c>
    </row>
    <row r="597" spans="1:4" x14ac:dyDescent="0.2">
      <c r="A597" t="s">
        <v>817</v>
      </c>
      <c r="B597" t="s">
        <v>827</v>
      </c>
      <c r="C597" t="s">
        <v>199</v>
      </c>
    </row>
    <row r="598" spans="1:4" x14ac:dyDescent="0.2">
      <c r="A598" t="s">
        <v>828</v>
      </c>
      <c r="B598" t="s">
        <v>829</v>
      </c>
    </row>
    <row r="599" spans="1:4" x14ac:dyDescent="0.2">
      <c r="A599" t="s">
        <v>830</v>
      </c>
      <c r="B599" t="s">
        <v>831</v>
      </c>
    </row>
    <row r="600" spans="1:4" x14ac:dyDescent="0.2">
      <c r="A600" t="s">
        <v>832</v>
      </c>
      <c r="B600" t="s">
        <v>833</v>
      </c>
    </row>
    <row r="601" spans="1:4" x14ac:dyDescent="0.2">
      <c r="A601" t="s">
        <v>834</v>
      </c>
      <c r="B601" t="s">
        <v>835</v>
      </c>
    </row>
    <row r="602" spans="1:4" x14ac:dyDescent="0.2">
      <c r="A602" t="s">
        <v>836</v>
      </c>
      <c r="B602" t="s">
        <v>837</v>
      </c>
      <c r="C602" t="s">
        <v>71</v>
      </c>
    </row>
    <row r="603" spans="1:4" x14ac:dyDescent="0.2">
      <c r="A603" t="s">
        <v>838</v>
      </c>
      <c r="B603" t="s">
        <v>839</v>
      </c>
    </row>
    <row r="604" spans="1:4" x14ac:dyDescent="0.2">
      <c r="A604" t="s">
        <v>840</v>
      </c>
      <c r="B604" t="s">
        <v>841</v>
      </c>
      <c r="C604" t="s">
        <v>262</v>
      </c>
    </row>
    <row r="605" spans="1:4" x14ac:dyDescent="0.2">
      <c r="A605" t="s">
        <v>842</v>
      </c>
      <c r="B605" t="s">
        <v>843</v>
      </c>
      <c r="C605" t="s">
        <v>844</v>
      </c>
    </row>
    <row r="606" spans="1:4" x14ac:dyDescent="0.2">
      <c r="A606" t="s">
        <v>845</v>
      </c>
      <c r="B606" t="s">
        <v>846</v>
      </c>
      <c r="C606" t="s">
        <v>566</v>
      </c>
    </row>
    <row r="607" spans="1:4" x14ac:dyDescent="0.2">
      <c r="A607" t="s">
        <v>847</v>
      </c>
      <c r="B607" t="s">
        <v>848</v>
      </c>
      <c r="C607" t="s">
        <v>199</v>
      </c>
      <c r="D607" t="s">
        <v>426</v>
      </c>
    </row>
    <row r="608" spans="1:4" x14ac:dyDescent="0.2">
      <c r="A608" t="s">
        <v>847</v>
      </c>
      <c r="B608" t="s">
        <v>849</v>
      </c>
      <c r="C608" t="s">
        <v>199</v>
      </c>
      <c r="D608" t="s">
        <v>850</v>
      </c>
    </row>
    <row r="609" spans="1:4" x14ac:dyDescent="0.2">
      <c r="A609" t="s">
        <v>847</v>
      </c>
      <c r="B609" t="s">
        <v>851</v>
      </c>
      <c r="C609" t="s">
        <v>199</v>
      </c>
      <c r="D609" t="s">
        <v>718</v>
      </c>
    </row>
    <row r="610" spans="1:4" x14ac:dyDescent="0.2">
      <c r="A610" t="s">
        <v>847</v>
      </c>
      <c r="B610" t="s">
        <v>852</v>
      </c>
      <c r="C610" t="s">
        <v>199</v>
      </c>
      <c r="D610" t="s">
        <v>426</v>
      </c>
    </row>
    <row r="611" spans="1:4" x14ac:dyDescent="0.2">
      <c r="A611" t="s">
        <v>847</v>
      </c>
      <c r="B611" t="s">
        <v>853</v>
      </c>
      <c r="C611" t="s">
        <v>199</v>
      </c>
      <c r="D611" t="s">
        <v>426</v>
      </c>
    </row>
    <row r="612" spans="1:4" x14ac:dyDescent="0.2">
      <c r="A612" t="s">
        <v>847</v>
      </c>
      <c r="B612" t="s">
        <v>854</v>
      </c>
      <c r="C612" t="s">
        <v>199</v>
      </c>
      <c r="D612" t="s">
        <v>334</v>
      </c>
    </row>
    <row r="613" spans="1:4" x14ac:dyDescent="0.2">
      <c r="A613" t="s">
        <v>847</v>
      </c>
      <c r="B613" t="s">
        <v>855</v>
      </c>
      <c r="C613" t="s">
        <v>199</v>
      </c>
      <c r="D613" t="s">
        <v>708</v>
      </c>
    </row>
    <row r="614" spans="1:4" x14ac:dyDescent="0.2">
      <c r="A614" t="s">
        <v>847</v>
      </c>
      <c r="B614" t="s">
        <v>856</v>
      </c>
      <c r="C614" t="s">
        <v>199</v>
      </c>
      <c r="D614" t="s">
        <v>708</v>
      </c>
    </row>
    <row r="615" spans="1:4" x14ac:dyDescent="0.2">
      <c r="A615" t="s">
        <v>847</v>
      </c>
      <c r="B615" t="s">
        <v>857</v>
      </c>
      <c r="C615" t="s">
        <v>80</v>
      </c>
      <c r="D615" t="s">
        <v>858</v>
      </c>
    </row>
    <row r="616" spans="1:4" x14ac:dyDescent="0.2">
      <c r="A616" t="s">
        <v>847</v>
      </c>
      <c r="B616" t="s">
        <v>859</v>
      </c>
    </row>
    <row r="617" spans="1:4" x14ac:dyDescent="0.2">
      <c r="A617" t="s">
        <v>847</v>
      </c>
      <c r="B617" t="s">
        <v>860</v>
      </c>
      <c r="C617" t="s">
        <v>199</v>
      </c>
      <c r="D617" t="s">
        <v>760</v>
      </c>
    </row>
    <row r="618" spans="1:4" x14ac:dyDescent="0.2">
      <c r="A618" t="s">
        <v>847</v>
      </c>
      <c r="B618" t="s">
        <v>861</v>
      </c>
      <c r="C618" t="s">
        <v>199</v>
      </c>
      <c r="D618" t="s">
        <v>760</v>
      </c>
    </row>
    <row r="619" spans="1:4" x14ac:dyDescent="0.2">
      <c r="A619" t="s">
        <v>847</v>
      </c>
      <c r="B619" t="s">
        <v>862</v>
      </c>
    </row>
    <row r="620" spans="1:4" x14ac:dyDescent="0.2">
      <c r="A620" t="s">
        <v>847</v>
      </c>
      <c r="B620" t="s">
        <v>863</v>
      </c>
      <c r="C620" t="s">
        <v>80</v>
      </c>
    </row>
    <row r="621" spans="1:4" x14ac:dyDescent="0.2">
      <c r="A621" t="s">
        <v>847</v>
      </c>
      <c r="B621" t="s">
        <v>864</v>
      </c>
      <c r="C621" t="s">
        <v>80</v>
      </c>
    </row>
    <row r="622" spans="1:4" x14ac:dyDescent="0.2">
      <c r="A622" t="s">
        <v>865</v>
      </c>
      <c r="B622" t="s">
        <v>866</v>
      </c>
      <c r="C622" t="s">
        <v>380</v>
      </c>
      <c r="D622" t="s">
        <v>566</v>
      </c>
    </row>
    <row r="623" spans="1:4" x14ac:dyDescent="0.2">
      <c r="A623" t="s">
        <v>865</v>
      </c>
      <c r="B623" t="s">
        <v>867</v>
      </c>
      <c r="C623" t="s">
        <v>380</v>
      </c>
      <c r="D623" t="s">
        <v>566</v>
      </c>
    </row>
    <row r="624" spans="1:4" x14ac:dyDescent="0.2">
      <c r="A624" t="s">
        <v>865</v>
      </c>
      <c r="B624" t="s">
        <v>868</v>
      </c>
      <c r="C624" t="s">
        <v>380</v>
      </c>
      <c r="D624" t="s">
        <v>566</v>
      </c>
    </row>
    <row r="625" spans="1:4" x14ac:dyDescent="0.2">
      <c r="A625" t="s">
        <v>865</v>
      </c>
      <c r="B625" t="s">
        <v>869</v>
      </c>
      <c r="C625" t="s">
        <v>380</v>
      </c>
      <c r="D625" t="s">
        <v>566</v>
      </c>
    </row>
    <row r="626" spans="1:4" x14ac:dyDescent="0.2">
      <c r="A626" t="s">
        <v>865</v>
      </c>
      <c r="B626" t="s">
        <v>870</v>
      </c>
      <c r="C626" t="s">
        <v>380</v>
      </c>
      <c r="D626" t="s">
        <v>566</v>
      </c>
    </row>
    <row r="627" spans="1:4" x14ac:dyDescent="0.2">
      <c r="A627" t="s">
        <v>865</v>
      </c>
      <c r="B627" t="s">
        <v>871</v>
      </c>
      <c r="C627" t="s">
        <v>380</v>
      </c>
      <c r="D627" t="s">
        <v>566</v>
      </c>
    </row>
    <row r="628" spans="1:4" x14ac:dyDescent="0.2">
      <c r="A628" t="s">
        <v>865</v>
      </c>
      <c r="B628" t="s">
        <v>872</v>
      </c>
      <c r="C628" t="s">
        <v>380</v>
      </c>
      <c r="D628" t="s">
        <v>566</v>
      </c>
    </row>
    <row r="629" spans="1:4" x14ac:dyDescent="0.2">
      <c r="A629" t="s">
        <v>865</v>
      </c>
      <c r="B629" t="s">
        <v>873</v>
      </c>
      <c r="C629" t="s">
        <v>380</v>
      </c>
      <c r="D629" t="s">
        <v>566</v>
      </c>
    </row>
    <row r="630" spans="1:4" x14ac:dyDescent="0.2">
      <c r="A630" t="s">
        <v>865</v>
      </c>
      <c r="B630" t="s">
        <v>874</v>
      </c>
      <c r="C630" t="s">
        <v>380</v>
      </c>
      <c r="D630" t="s">
        <v>566</v>
      </c>
    </row>
    <row r="631" spans="1:4" x14ac:dyDescent="0.2">
      <c r="A631" t="s">
        <v>865</v>
      </c>
      <c r="B631" t="s">
        <v>875</v>
      </c>
      <c r="C631" t="s">
        <v>380</v>
      </c>
      <c r="D631" t="s">
        <v>566</v>
      </c>
    </row>
    <row r="632" spans="1:4" x14ac:dyDescent="0.2">
      <c r="A632" t="s">
        <v>865</v>
      </c>
      <c r="B632" t="s">
        <v>876</v>
      </c>
      <c r="C632" t="s">
        <v>380</v>
      </c>
      <c r="D632" t="s">
        <v>566</v>
      </c>
    </row>
    <row r="633" spans="1:4" x14ac:dyDescent="0.2">
      <c r="A633" t="s">
        <v>865</v>
      </c>
      <c r="B633" t="s">
        <v>877</v>
      </c>
      <c r="C633" t="s">
        <v>380</v>
      </c>
      <c r="D633" t="s">
        <v>566</v>
      </c>
    </row>
    <row r="634" spans="1:4" x14ac:dyDescent="0.2">
      <c r="A634" t="s">
        <v>865</v>
      </c>
      <c r="B634" t="s">
        <v>878</v>
      </c>
      <c r="C634" t="s">
        <v>380</v>
      </c>
      <c r="D634" t="s">
        <v>566</v>
      </c>
    </row>
    <row r="635" spans="1:4" x14ac:dyDescent="0.2">
      <c r="A635" t="s">
        <v>865</v>
      </c>
      <c r="B635" t="s">
        <v>879</v>
      </c>
      <c r="C635" t="s">
        <v>664</v>
      </c>
      <c r="D635" t="s">
        <v>880</v>
      </c>
    </row>
    <row r="636" spans="1:4" x14ac:dyDescent="0.2">
      <c r="A636" t="s">
        <v>865</v>
      </c>
      <c r="B636" t="s">
        <v>881</v>
      </c>
      <c r="C636" t="s">
        <v>664</v>
      </c>
      <c r="D636" t="s">
        <v>880</v>
      </c>
    </row>
    <row r="637" spans="1:4" x14ac:dyDescent="0.2">
      <c r="A637" t="s">
        <v>865</v>
      </c>
      <c r="B637" t="s">
        <v>882</v>
      </c>
      <c r="C637" t="s">
        <v>664</v>
      </c>
      <c r="D637" t="s">
        <v>880</v>
      </c>
    </row>
    <row r="638" spans="1:4" x14ac:dyDescent="0.2">
      <c r="A638" t="s">
        <v>865</v>
      </c>
      <c r="B638" t="s">
        <v>883</v>
      </c>
      <c r="C638" t="s">
        <v>664</v>
      </c>
      <c r="D638" t="s">
        <v>880</v>
      </c>
    </row>
    <row r="639" spans="1:4" x14ac:dyDescent="0.2">
      <c r="A639" t="s">
        <v>865</v>
      </c>
      <c r="B639" t="s">
        <v>884</v>
      </c>
      <c r="C639" t="s">
        <v>664</v>
      </c>
      <c r="D639" t="s">
        <v>880</v>
      </c>
    </row>
    <row r="640" spans="1:4" x14ac:dyDescent="0.2">
      <c r="A640" t="s">
        <v>865</v>
      </c>
      <c r="B640" t="s">
        <v>885</v>
      </c>
      <c r="C640" t="s">
        <v>664</v>
      </c>
      <c r="D640" t="s">
        <v>880</v>
      </c>
    </row>
    <row r="641" spans="1:4" x14ac:dyDescent="0.2">
      <c r="A641" t="s">
        <v>865</v>
      </c>
      <c r="B641" t="s">
        <v>886</v>
      </c>
      <c r="C641" t="s">
        <v>664</v>
      </c>
      <c r="D641" t="s">
        <v>880</v>
      </c>
    </row>
    <row r="642" spans="1:4" x14ac:dyDescent="0.2">
      <c r="A642" t="s">
        <v>865</v>
      </c>
      <c r="B642" t="s">
        <v>887</v>
      </c>
      <c r="C642" t="s">
        <v>664</v>
      </c>
      <c r="D642" t="s">
        <v>880</v>
      </c>
    </row>
    <row r="643" spans="1:4" x14ac:dyDescent="0.2">
      <c r="A643" t="s">
        <v>865</v>
      </c>
      <c r="B643" t="s">
        <v>888</v>
      </c>
      <c r="C643" t="s">
        <v>664</v>
      </c>
      <c r="D643" t="s">
        <v>880</v>
      </c>
    </row>
    <row r="644" spans="1:4" x14ac:dyDescent="0.2">
      <c r="A644" t="s">
        <v>865</v>
      </c>
      <c r="B644" t="s">
        <v>889</v>
      </c>
      <c r="C644" t="s">
        <v>664</v>
      </c>
      <c r="D644" t="s">
        <v>880</v>
      </c>
    </row>
    <row r="645" spans="1:4" x14ac:dyDescent="0.2">
      <c r="A645" t="s">
        <v>865</v>
      </c>
      <c r="B645" t="s">
        <v>890</v>
      </c>
      <c r="C645" t="s">
        <v>891</v>
      </c>
      <c r="D645" t="s">
        <v>880</v>
      </c>
    </row>
    <row r="646" spans="1:4" x14ac:dyDescent="0.2">
      <c r="A646" t="s">
        <v>865</v>
      </c>
      <c r="B646" t="s">
        <v>892</v>
      </c>
      <c r="C646" t="s">
        <v>891</v>
      </c>
      <c r="D646" t="s">
        <v>880</v>
      </c>
    </row>
    <row r="647" spans="1:4" x14ac:dyDescent="0.2">
      <c r="A647" t="s">
        <v>865</v>
      </c>
      <c r="B647" t="s">
        <v>893</v>
      </c>
      <c r="C647" t="s">
        <v>891</v>
      </c>
      <c r="D647" t="s">
        <v>880</v>
      </c>
    </row>
    <row r="648" spans="1:4" x14ac:dyDescent="0.2">
      <c r="A648" t="s">
        <v>865</v>
      </c>
      <c r="B648" t="s">
        <v>894</v>
      </c>
      <c r="C648" t="s">
        <v>891</v>
      </c>
      <c r="D648" t="s">
        <v>880</v>
      </c>
    </row>
    <row r="649" spans="1:4" x14ac:dyDescent="0.2">
      <c r="A649" t="s">
        <v>865</v>
      </c>
      <c r="B649" t="s">
        <v>895</v>
      </c>
      <c r="C649" t="s">
        <v>891</v>
      </c>
      <c r="D649" t="s">
        <v>880</v>
      </c>
    </row>
    <row r="650" spans="1:4" x14ac:dyDescent="0.2">
      <c r="A650" t="s">
        <v>865</v>
      </c>
      <c r="B650" t="s">
        <v>896</v>
      </c>
      <c r="C650" t="s">
        <v>891</v>
      </c>
      <c r="D650" t="s">
        <v>880</v>
      </c>
    </row>
    <row r="651" spans="1:4" x14ac:dyDescent="0.2">
      <c r="A651" t="s">
        <v>865</v>
      </c>
      <c r="B651" t="s">
        <v>897</v>
      </c>
      <c r="C651" t="s">
        <v>891</v>
      </c>
      <c r="D651" t="s">
        <v>880</v>
      </c>
    </row>
    <row r="652" spans="1:4" x14ac:dyDescent="0.2">
      <c r="A652" t="s">
        <v>865</v>
      </c>
      <c r="B652" t="s">
        <v>898</v>
      </c>
      <c r="C652" t="s">
        <v>891</v>
      </c>
      <c r="D652" t="s">
        <v>880</v>
      </c>
    </row>
    <row r="653" spans="1:4" x14ac:dyDescent="0.2">
      <c r="A653" t="s">
        <v>865</v>
      </c>
      <c r="B653" t="s">
        <v>899</v>
      </c>
      <c r="C653" t="s">
        <v>891</v>
      </c>
      <c r="D653" t="s">
        <v>880</v>
      </c>
    </row>
    <row r="654" spans="1:4" x14ac:dyDescent="0.2">
      <c r="A654" t="s">
        <v>865</v>
      </c>
      <c r="B654" t="s">
        <v>900</v>
      </c>
      <c r="C654" t="s">
        <v>891</v>
      </c>
      <c r="D654" t="s">
        <v>901</v>
      </c>
    </row>
    <row r="655" spans="1:4" x14ac:dyDescent="0.2">
      <c r="A655" t="s">
        <v>865</v>
      </c>
      <c r="B655" t="s">
        <v>902</v>
      </c>
      <c r="C655" t="s">
        <v>891</v>
      </c>
      <c r="D655" t="s">
        <v>901</v>
      </c>
    </row>
    <row r="656" spans="1:4" x14ac:dyDescent="0.2">
      <c r="A656" t="s">
        <v>865</v>
      </c>
      <c r="B656" t="s">
        <v>903</v>
      </c>
      <c r="C656" t="s">
        <v>891</v>
      </c>
      <c r="D656" t="s">
        <v>901</v>
      </c>
    </row>
    <row r="657" spans="1:4" x14ac:dyDescent="0.2">
      <c r="A657" t="s">
        <v>865</v>
      </c>
      <c r="B657" t="s">
        <v>904</v>
      </c>
      <c r="C657" t="s">
        <v>891</v>
      </c>
      <c r="D657" t="s">
        <v>901</v>
      </c>
    </row>
    <row r="658" spans="1:4" x14ac:dyDescent="0.2">
      <c r="A658" t="s">
        <v>865</v>
      </c>
      <c r="B658" t="s">
        <v>905</v>
      </c>
      <c r="C658" t="s">
        <v>891</v>
      </c>
      <c r="D658" t="s">
        <v>901</v>
      </c>
    </row>
    <row r="659" spans="1:4" x14ac:dyDescent="0.2">
      <c r="A659" t="s">
        <v>865</v>
      </c>
      <c r="B659" t="s">
        <v>906</v>
      </c>
      <c r="C659" t="s">
        <v>891</v>
      </c>
      <c r="D659" t="s">
        <v>901</v>
      </c>
    </row>
    <row r="660" spans="1:4" x14ac:dyDescent="0.2">
      <c r="A660" t="s">
        <v>865</v>
      </c>
      <c r="B660" t="s">
        <v>907</v>
      </c>
      <c r="C660" t="s">
        <v>891</v>
      </c>
      <c r="D660" t="s">
        <v>901</v>
      </c>
    </row>
    <row r="661" spans="1:4" x14ac:dyDescent="0.2">
      <c r="A661" t="s">
        <v>865</v>
      </c>
      <c r="B661" t="s">
        <v>908</v>
      </c>
      <c r="C661" t="s">
        <v>891</v>
      </c>
      <c r="D661" t="s">
        <v>901</v>
      </c>
    </row>
    <row r="662" spans="1:4" x14ac:dyDescent="0.2">
      <c r="A662" t="s">
        <v>865</v>
      </c>
      <c r="B662" t="s">
        <v>909</v>
      </c>
      <c r="C662" t="s">
        <v>891</v>
      </c>
      <c r="D662" t="s">
        <v>901</v>
      </c>
    </row>
    <row r="663" spans="1:4" x14ac:dyDescent="0.2">
      <c r="A663" t="s">
        <v>865</v>
      </c>
      <c r="B663" t="s">
        <v>910</v>
      </c>
      <c r="C663" t="s">
        <v>891</v>
      </c>
      <c r="D663" t="s">
        <v>901</v>
      </c>
    </row>
    <row r="664" spans="1:4" x14ac:dyDescent="0.2">
      <c r="A664" t="s">
        <v>865</v>
      </c>
      <c r="B664" t="s">
        <v>911</v>
      </c>
      <c r="C664" t="s">
        <v>891</v>
      </c>
      <c r="D664" t="s">
        <v>901</v>
      </c>
    </row>
    <row r="665" spans="1:4" x14ac:dyDescent="0.2">
      <c r="A665" t="s">
        <v>865</v>
      </c>
      <c r="B665" t="s">
        <v>912</v>
      </c>
      <c r="C665" t="s">
        <v>380</v>
      </c>
      <c r="D665" t="s">
        <v>566</v>
      </c>
    </row>
    <row r="666" spans="1:4" x14ac:dyDescent="0.2">
      <c r="A666" t="s">
        <v>865</v>
      </c>
      <c r="B666" t="s">
        <v>913</v>
      </c>
      <c r="C666" t="s">
        <v>380</v>
      </c>
      <c r="D666" t="s">
        <v>566</v>
      </c>
    </row>
    <row r="667" spans="1:4" x14ac:dyDescent="0.2">
      <c r="A667" t="s">
        <v>865</v>
      </c>
      <c r="B667" t="s">
        <v>914</v>
      </c>
      <c r="C667" t="s">
        <v>380</v>
      </c>
      <c r="D667" t="s">
        <v>566</v>
      </c>
    </row>
    <row r="668" spans="1:4" x14ac:dyDescent="0.2">
      <c r="A668" t="s">
        <v>865</v>
      </c>
      <c r="B668" t="s">
        <v>915</v>
      </c>
      <c r="C668" t="s">
        <v>380</v>
      </c>
      <c r="D668" t="s">
        <v>566</v>
      </c>
    </row>
    <row r="669" spans="1:4" x14ac:dyDescent="0.2">
      <c r="A669" t="s">
        <v>865</v>
      </c>
      <c r="B669" t="s">
        <v>916</v>
      </c>
      <c r="C669" t="s">
        <v>380</v>
      </c>
      <c r="D669" t="s">
        <v>528</v>
      </c>
    </row>
    <row r="670" spans="1:4" x14ac:dyDescent="0.2">
      <c r="A670" t="s">
        <v>865</v>
      </c>
      <c r="B670" t="s">
        <v>917</v>
      </c>
      <c r="C670" t="s">
        <v>380</v>
      </c>
      <c r="D670" t="s">
        <v>528</v>
      </c>
    </row>
    <row r="671" spans="1:4" x14ac:dyDescent="0.2">
      <c r="A671" t="s">
        <v>865</v>
      </c>
      <c r="B671" t="s">
        <v>918</v>
      </c>
      <c r="C671" t="s">
        <v>380</v>
      </c>
      <c r="D671" t="s">
        <v>528</v>
      </c>
    </row>
    <row r="672" spans="1:4" x14ac:dyDescent="0.2">
      <c r="A672" t="s">
        <v>865</v>
      </c>
      <c r="B672" t="s">
        <v>919</v>
      </c>
      <c r="C672" t="s">
        <v>380</v>
      </c>
      <c r="D672" t="s">
        <v>566</v>
      </c>
    </row>
    <row r="673" spans="1:5" x14ac:dyDescent="0.2">
      <c r="A673" t="s">
        <v>865</v>
      </c>
      <c r="B673" t="s">
        <v>920</v>
      </c>
      <c r="C673" t="s">
        <v>380</v>
      </c>
      <c r="D673" t="s">
        <v>566</v>
      </c>
    </row>
    <row r="674" spans="1:5" x14ac:dyDescent="0.2">
      <c r="A674" t="s">
        <v>865</v>
      </c>
      <c r="B674" t="s">
        <v>921</v>
      </c>
      <c r="C674" t="s">
        <v>380</v>
      </c>
      <c r="D674" t="s">
        <v>566</v>
      </c>
    </row>
    <row r="675" spans="1:5" x14ac:dyDescent="0.2">
      <c r="A675" t="s">
        <v>865</v>
      </c>
      <c r="B675" t="s">
        <v>922</v>
      </c>
      <c r="C675" t="s">
        <v>380</v>
      </c>
      <c r="D675" t="s">
        <v>566</v>
      </c>
    </row>
    <row r="676" spans="1:5" x14ac:dyDescent="0.2">
      <c r="A676" t="s">
        <v>865</v>
      </c>
      <c r="B676" t="s">
        <v>923</v>
      </c>
      <c r="C676" t="s">
        <v>380</v>
      </c>
      <c r="D676" t="s">
        <v>566</v>
      </c>
    </row>
    <row r="677" spans="1:5" x14ac:dyDescent="0.2">
      <c r="A677" t="s">
        <v>865</v>
      </c>
      <c r="B677" t="s">
        <v>924</v>
      </c>
      <c r="C677" t="s">
        <v>380</v>
      </c>
      <c r="D677" t="s">
        <v>566</v>
      </c>
    </row>
    <row r="678" spans="1:5" x14ac:dyDescent="0.2">
      <c r="A678" t="s">
        <v>865</v>
      </c>
      <c r="B678" t="s">
        <v>925</v>
      </c>
      <c r="C678" t="s">
        <v>380</v>
      </c>
      <c r="D678" t="s">
        <v>566</v>
      </c>
    </row>
    <row r="679" spans="1:5" x14ac:dyDescent="0.2">
      <c r="A679" t="s">
        <v>865</v>
      </c>
      <c r="B679" t="s">
        <v>926</v>
      </c>
      <c r="C679" t="s">
        <v>380</v>
      </c>
      <c r="D679" t="s">
        <v>566</v>
      </c>
    </row>
    <row r="680" spans="1:5" x14ac:dyDescent="0.2">
      <c r="A680" t="s">
        <v>865</v>
      </c>
      <c r="B680" t="s">
        <v>927</v>
      </c>
      <c r="C680" t="s">
        <v>380</v>
      </c>
      <c r="D680" t="s">
        <v>566</v>
      </c>
    </row>
    <row r="681" spans="1:5" x14ac:dyDescent="0.2">
      <c r="A681" t="s">
        <v>865</v>
      </c>
      <c r="B681" t="s">
        <v>928</v>
      </c>
      <c r="C681" t="s">
        <v>380</v>
      </c>
      <c r="D681" t="s">
        <v>566</v>
      </c>
    </row>
    <row r="682" spans="1:5" x14ac:dyDescent="0.2">
      <c r="A682" t="s">
        <v>865</v>
      </c>
      <c r="B682" t="s">
        <v>929</v>
      </c>
      <c r="C682" t="s">
        <v>664</v>
      </c>
      <c r="D682" t="s">
        <v>930</v>
      </c>
      <c r="E682" t="s">
        <v>931</v>
      </c>
    </row>
    <row r="683" spans="1:5" x14ac:dyDescent="0.2">
      <c r="A683" t="s">
        <v>865</v>
      </c>
      <c r="B683" t="s">
        <v>932</v>
      </c>
      <c r="C683" t="s">
        <v>664</v>
      </c>
      <c r="D683" t="s">
        <v>930</v>
      </c>
      <c r="E683" t="s">
        <v>496</v>
      </c>
    </row>
    <row r="684" spans="1:5" x14ac:dyDescent="0.2">
      <c r="A684" t="s">
        <v>865</v>
      </c>
      <c r="B684" t="s">
        <v>933</v>
      </c>
      <c r="C684" t="s">
        <v>664</v>
      </c>
      <c r="D684" t="s">
        <v>930</v>
      </c>
      <c r="E684" t="s">
        <v>496</v>
      </c>
    </row>
    <row r="685" spans="1:5" x14ac:dyDescent="0.2">
      <c r="A685" t="s">
        <v>865</v>
      </c>
      <c r="B685" t="s">
        <v>934</v>
      </c>
      <c r="C685" t="s">
        <v>664</v>
      </c>
      <c r="D685" t="s">
        <v>930</v>
      </c>
      <c r="E685" t="s">
        <v>639</v>
      </c>
    </row>
    <row r="686" spans="1:5" x14ac:dyDescent="0.2">
      <c r="A686" t="s">
        <v>865</v>
      </c>
      <c r="B686" t="s">
        <v>935</v>
      </c>
      <c r="C686" t="s">
        <v>664</v>
      </c>
      <c r="D686" t="s">
        <v>930</v>
      </c>
      <c r="E686" t="s">
        <v>639</v>
      </c>
    </row>
    <row r="687" spans="1:5" x14ac:dyDescent="0.2">
      <c r="A687" t="s">
        <v>865</v>
      </c>
      <c r="B687" t="s">
        <v>936</v>
      </c>
      <c r="C687" t="s">
        <v>664</v>
      </c>
      <c r="D687" t="s">
        <v>930</v>
      </c>
      <c r="E687" t="s">
        <v>753</v>
      </c>
    </row>
    <row r="688" spans="1:5" x14ac:dyDescent="0.2">
      <c r="A688" t="s">
        <v>865</v>
      </c>
      <c r="B688" t="s">
        <v>937</v>
      </c>
      <c r="C688" t="s">
        <v>664</v>
      </c>
      <c r="D688" t="s">
        <v>930</v>
      </c>
      <c r="E688" t="s">
        <v>938</v>
      </c>
    </row>
    <row r="689" spans="1:6" x14ac:dyDescent="0.2">
      <c r="A689" t="s">
        <v>865</v>
      </c>
      <c r="B689" t="s">
        <v>939</v>
      </c>
      <c r="C689" t="s">
        <v>664</v>
      </c>
      <c r="D689" t="s">
        <v>930</v>
      </c>
      <c r="E689" t="s">
        <v>938</v>
      </c>
    </row>
    <row r="690" spans="1:6" x14ac:dyDescent="0.2">
      <c r="A690" t="s">
        <v>865</v>
      </c>
      <c r="B690" t="s">
        <v>940</v>
      </c>
      <c r="C690" t="s">
        <v>664</v>
      </c>
      <c r="D690" t="s">
        <v>930</v>
      </c>
      <c r="E690" t="s">
        <v>243</v>
      </c>
    </row>
    <row r="691" spans="1:6" x14ac:dyDescent="0.2">
      <c r="A691" t="s">
        <v>865</v>
      </c>
      <c r="B691" t="s">
        <v>941</v>
      </c>
      <c r="C691" t="s">
        <v>664</v>
      </c>
      <c r="D691" t="s">
        <v>942</v>
      </c>
      <c r="E691" t="s">
        <v>943</v>
      </c>
    </row>
    <row r="692" spans="1:6" x14ac:dyDescent="0.2">
      <c r="A692" t="s">
        <v>865</v>
      </c>
      <c r="B692" t="s">
        <v>944</v>
      </c>
      <c r="C692" t="s">
        <v>664</v>
      </c>
      <c r="D692" t="s">
        <v>942</v>
      </c>
      <c r="E692" t="s">
        <v>945</v>
      </c>
    </row>
    <row r="693" spans="1:6" x14ac:dyDescent="0.2">
      <c r="A693" t="s">
        <v>865</v>
      </c>
      <c r="B693" t="s">
        <v>946</v>
      </c>
      <c r="C693" t="s">
        <v>664</v>
      </c>
      <c r="D693" t="s">
        <v>942</v>
      </c>
      <c r="E693" t="s">
        <v>945</v>
      </c>
    </row>
    <row r="694" spans="1:6" x14ac:dyDescent="0.2">
      <c r="A694" t="s">
        <v>865</v>
      </c>
      <c r="B694" t="s">
        <v>947</v>
      </c>
      <c r="C694" t="s">
        <v>664</v>
      </c>
      <c r="D694" t="s">
        <v>942</v>
      </c>
      <c r="E694" t="s">
        <v>945</v>
      </c>
    </row>
    <row r="695" spans="1:6" x14ac:dyDescent="0.2">
      <c r="A695" t="s">
        <v>865</v>
      </c>
      <c r="B695" t="s">
        <v>948</v>
      </c>
      <c r="C695" t="s">
        <v>664</v>
      </c>
      <c r="D695" t="s">
        <v>942</v>
      </c>
      <c r="E695" t="s">
        <v>945</v>
      </c>
    </row>
    <row r="696" spans="1:6" x14ac:dyDescent="0.2">
      <c r="A696" t="s">
        <v>865</v>
      </c>
      <c r="B696" t="s">
        <v>949</v>
      </c>
      <c r="C696" t="s">
        <v>891</v>
      </c>
      <c r="D696" t="s">
        <v>950</v>
      </c>
      <c r="E696" t="s">
        <v>951</v>
      </c>
      <c r="F696" t="s">
        <v>952</v>
      </c>
    </row>
    <row r="697" spans="1:6" x14ac:dyDescent="0.2">
      <c r="A697" t="s">
        <v>865</v>
      </c>
      <c r="B697" t="s">
        <v>953</v>
      </c>
      <c r="C697" t="s">
        <v>380</v>
      </c>
      <c r="D697" t="s">
        <v>27</v>
      </c>
      <c r="E697" t="s">
        <v>954</v>
      </c>
    </row>
    <row r="698" spans="1:6" x14ac:dyDescent="0.2">
      <c r="A698" t="s">
        <v>865</v>
      </c>
      <c r="B698" t="s">
        <v>955</v>
      </c>
      <c r="C698" t="s">
        <v>664</v>
      </c>
      <c r="D698" t="s">
        <v>27</v>
      </c>
      <c r="E698" t="s">
        <v>956</v>
      </c>
    </row>
    <row r="699" spans="1:6" x14ac:dyDescent="0.2">
      <c r="A699" t="s">
        <v>865</v>
      </c>
      <c r="B699" t="s">
        <v>957</v>
      </c>
      <c r="C699" t="s">
        <v>664</v>
      </c>
      <c r="D699" t="s">
        <v>958</v>
      </c>
      <c r="E699" t="s">
        <v>135</v>
      </c>
    </row>
    <row r="700" spans="1:6" x14ac:dyDescent="0.2">
      <c r="A700" t="s">
        <v>865</v>
      </c>
      <c r="B700" t="s">
        <v>959</v>
      </c>
      <c r="C700" t="s">
        <v>891</v>
      </c>
      <c r="D700" t="s">
        <v>901</v>
      </c>
      <c r="E700" t="s">
        <v>374</v>
      </c>
    </row>
    <row r="701" spans="1:6" x14ac:dyDescent="0.2">
      <c r="A701" t="s">
        <v>865</v>
      </c>
      <c r="B701" t="s">
        <v>960</v>
      </c>
      <c r="C701" t="s">
        <v>664</v>
      </c>
      <c r="D701" t="s">
        <v>566</v>
      </c>
      <c r="E701" t="s">
        <v>961</v>
      </c>
    </row>
    <row r="702" spans="1:6" x14ac:dyDescent="0.2">
      <c r="A702" t="s">
        <v>865</v>
      </c>
      <c r="B702" t="s">
        <v>962</v>
      </c>
      <c r="C702" t="s">
        <v>664</v>
      </c>
      <c r="D702" t="s">
        <v>566</v>
      </c>
      <c r="E702" t="s">
        <v>164</v>
      </c>
    </row>
    <row r="703" spans="1:6" x14ac:dyDescent="0.2">
      <c r="A703" t="s">
        <v>865</v>
      </c>
      <c r="B703" t="s">
        <v>963</v>
      </c>
      <c r="C703" t="s">
        <v>380</v>
      </c>
      <c r="D703" t="s">
        <v>566</v>
      </c>
      <c r="E703" t="s">
        <v>964</v>
      </c>
      <c r="F703" t="s">
        <v>965</v>
      </c>
    </row>
    <row r="704" spans="1:6" x14ac:dyDescent="0.2">
      <c r="A704" t="s">
        <v>865</v>
      </c>
      <c r="B704" t="s">
        <v>966</v>
      </c>
      <c r="C704" t="s">
        <v>891</v>
      </c>
      <c r="D704" t="s">
        <v>967</v>
      </c>
      <c r="E704" t="s">
        <v>968</v>
      </c>
      <c r="F704" t="s">
        <v>969</v>
      </c>
    </row>
    <row r="705" spans="1:5" x14ac:dyDescent="0.2">
      <c r="A705" t="s">
        <v>865</v>
      </c>
      <c r="B705" t="s">
        <v>970</v>
      </c>
      <c r="C705" t="s">
        <v>891</v>
      </c>
      <c r="D705" t="s">
        <v>967</v>
      </c>
      <c r="E705" t="s">
        <v>971</v>
      </c>
    </row>
    <row r="706" spans="1:5" x14ac:dyDescent="0.2">
      <c r="A706" t="s">
        <v>865</v>
      </c>
      <c r="B706" t="s">
        <v>972</v>
      </c>
      <c r="C706" t="s">
        <v>664</v>
      </c>
      <c r="D706" t="s">
        <v>269</v>
      </c>
      <c r="E706" t="s">
        <v>973</v>
      </c>
    </row>
    <row r="707" spans="1:5" x14ac:dyDescent="0.2">
      <c r="A707" t="s">
        <v>865</v>
      </c>
      <c r="B707" t="s">
        <v>974</v>
      </c>
      <c r="C707" t="s">
        <v>891</v>
      </c>
      <c r="D707" t="s">
        <v>975</v>
      </c>
      <c r="E707" t="s">
        <v>976</v>
      </c>
    </row>
    <row r="708" spans="1:5" x14ac:dyDescent="0.2">
      <c r="A708" t="s">
        <v>865</v>
      </c>
      <c r="B708" t="s">
        <v>977</v>
      </c>
      <c r="C708" t="s">
        <v>664</v>
      </c>
      <c r="D708" t="s">
        <v>528</v>
      </c>
      <c r="E708" t="s">
        <v>978</v>
      </c>
    </row>
    <row r="709" spans="1:5" x14ac:dyDescent="0.2">
      <c r="A709" t="s">
        <v>865</v>
      </c>
      <c r="B709" t="s">
        <v>979</v>
      </c>
      <c r="C709" t="s">
        <v>664</v>
      </c>
      <c r="D709" t="s">
        <v>930</v>
      </c>
      <c r="E709" t="s">
        <v>980</v>
      </c>
    </row>
    <row r="710" spans="1:5" x14ac:dyDescent="0.2">
      <c r="A710" t="s">
        <v>865</v>
      </c>
      <c r="B710" t="s">
        <v>981</v>
      </c>
      <c r="C710" t="s">
        <v>664</v>
      </c>
      <c r="D710" t="s">
        <v>958</v>
      </c>
      <c r="E710" t="s">
        <v>982</v>
      </c>
    </row>
    <row r="711" spans="1:5" x14ac:dyDescent="0.2">
      <c r="A711" t="s">
        <v>865</v>
      </c>
      <c r="B711" t="s">
        <v>983</v>
      </c>
      <c r="C711" t="s">
        <v>891</v>
      </c>
      <c r="D711" t="s">
        <v>984</v>
      </c>
      <c r="E711" t="s">
        <v>985</v>
      </c>
    </row>
    <row r="712" spans="1:5" x14ac:dyDescent="0.2">
      <c r="A712" t="s">
        <v>865</v>
      </c>
      <c r="B712" t="s">
        <v>986</v>
      </c>
      <c r="C712" t="s">
        <v>664</v>
      </c>
      <c r="D712" t="s">
        <v>528</v>
      </c>
      <c r="E712" t="s">
        <v>987</v>
      </c>
    </row>
    <row r="713" spans="1:5" x14ac:dyDescent="0.2">
      <c r="A713" t="s">
        <v>865</v>
      </c>
      <c r="B713" t="s">
        <v>988</v>
      </c>
      <c r="C713" t="s">
        <v>891</v>
      </c>
      <c r="D713" t="s">
        <v>528</v>
      </c>
      <c r="E713" t="s">
        <v>989</v>
      </c>
    </row>
    <row r="714" spans="1:5" x14ac:dyDescent="0.2">
      <c r="A714" t="s">
        <v>865</v>
      </c>
      <c r="B714" t="s">
        <v>990</v>
      </c>
      <c r="C714" t="s">
        <v>891</v>
      </c>
      <c r="D714" t="s">
        <v>975</v>
      </c>
    </row>
    <row r="715" spans="1:5" x14ac:dyDescent="0.2">
      <c r="A715" t="s">
        <v>865</v>
      </c>
      <c r="B715" t="s">
        <v>991</v>
      </c>
      <c r="C715" t="s">
        <v>891</v>
      </c>
      <c r="D715" t="s">
        <v>975</v>
      </c>
    </row>
    <row r="716" spans="1:5" x14ac:dyDescent="0.2">
      <c r="A716" t="s">
        <v>865</v>
      </c>
      <c r="B716" t="s">
        <v>992</v>
      </c>
      <c r="C716" t="s">
        <v>891</v>
      </c>
      <c r="D716" t="s">
        <v>975</v>
      </c>
    </row>
    <row r="717" spans="1:5" x14ac:dyDescent="0.2">
      <c r="A717" t="s">
        <v>865</v>
      </c>
      <c r="B717" t="s">
        <v>993</v>
      </c>
      <c r="C717" t="s">
        <v>664</v>
      </c>
      <c r="D717" t="s">
        <v>930</v>
      </c>
    </row>
    <row r="718" spans="1:5" x14ac:dyDescent="0.2">
      <c r="A718" t="s">
        <v>865</v>
      </c>
      <c r="B718" t="s">
        <v>994</v>
      </c>
      <c r="C718" t="s">
        <v>664</v>
      </c>
      <c r="D718" t="s">
        <v>930</v>
      </c>
    </row>
    <row r="719" spans="1:5" x14ac:dyDescent="0.2">
      <c r="A719" t="s">
        <v>865</v>
      </c>
      <c r="B719" t="s">
        <v>995</v>
      </c>
      <c r="C719" t="s">
        <v>664</v>
      </c>
      <c r="D719" t="s">
        <v>528</v>
      </c>
    </row>
    <row r="720" spans="1:5" x14ac:dyDescent="0.2">
      <c r="A720" t="s">
        <v>865</v>
      </c>
      <c r="B720" t="s">
        <v>996</v>
      </c>
      <c r="C720" t="s">
        <v>664</v>
      </c>
      <c r="D720" t="s">
        <v>528</v>
      </c>
    </row>
    <row r="721" spans="1:4" x14ac:dyDescent="0.2">
      <c r="A721" t="s">
        <v>865</v>
      </c>
      <c r="B721" t="s">
        <v>997</v>
      </c>
      <c r="C721" t="s">
        <v>664</v>
      </c>
      <c r="D721" t="s">
        <v>998</v>
      </c>
    </row>
    <row r="722" spans="1:4" x14ac:dyDescent="0.2">
      <c r="A722" t="s">
        <v>865</v>
      </c>
      <c r="B722" t="s">
        <v>999</v>
      </c>
      <c r="C722" t="s">
        <v>891</v>
      </c>
      <c r="D722" t="s">
        <v>1000</v>
      </c>
    </row>
    <row r="723" spans="1:4" x14ac:dyDescent="0.2">
      <c r="A723" t="s">
        <v>865</v>
      </c>
      <c r="B723" t="s">
        <v>1001</v>
      </c>
      <c r="C723" t="s">
        <v>891</v>
      </c>
      <c r="D723" t="s">
        <v>1000</v>
      </c>
    </row>
    <row r="724" spans="1:4" x14ac:dyDescent="0.2">
      <c r="A724" t="s">
        <v>1002</v>
      </c>
      <c r="B724" t="s">
        <v>1003</v>
      </c>
      <c r="C724" t="s">
        <v>807</v>
      </c>
    </row>
    <row r="725" spans="1:4" x14ac:dyDescent="0.2">
      <c r="A725" t="s">
        <v>1004</v>
      </c>
      <c r="B725" t="s">
        <v>1005</v>
      </c>
    </row>
    <row r="726" spans="1:4" x14ac:dyDescent="0.2">
      <c r="A726" t="s">
        <v>1006</v>
      </c>
      <c r="B726" t="s">
        <v>1007</v>
      </c>
      <c r="C726" t="s">
        <v>463</v>
      </c>
    </row>
    <row r="727" spans="1:4" x14ac:dyDescent="0.2">
      <c r="A727" t="s">
        <v>1008</v>
      </c>
      <c r="B727" t="s">
        <v>1009</v>
      </c>
      <c r="C727" t="s">
        <v>73</v>
      </c>
    </row>
    <row r="728" spans="1:4" x14ac:dyDescent="0.2">
      <c r="A728" t="s">
        <v>1010</v>
      </c>
      <c r="B728" t="s">
        <v>1011</v>
      </c>
    </row>
    <row r="729" spans="1:4" x14ac:dyDescent="0.2">
      <c r="A729" t="s">
        <v>1012</v>
      </c>
      <c r="B729" t="s">
        <v>1013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CE6F-A8CA-A34D-995D-E079B6E538F3}">
  <dimension ref="A1:M730"/>
  <sheetViews>
    <sheetView tabSelected="1" topLeftCell="G1" workbookViewId="0">
      <pane ySplit="1" topLeftCell="A2" activePane="bottomLeft" state="frozen"/>
      <selection pane="bottomLeft" activeCell="P3" sqref="P3"/>
    </sheetView>
  </sheetViews>
  <sheetFormatPr baseColWidth="10" defaultRowHeight="16" x14ac:dyDescent="0.2"/>
  <cols>
    <col min="1" max="1" width="67.5" customWidth="1"/>
    <col min="2" max="2" width="21.83203125" customWidth="1"/>
    <col min="4" max="4" width="14.1640625" customWidth="1"/>
    <col min="5" max="5" width="21.83203125" customWidth="1"/>
    <col min="7" max="7" width="43.33203125" customWidth="1"/>
    <col min="8" max="8" width="19" customWidth="1"/>
    <col min="11" max="11" width="21.33203125" customWidth="1"/>
    <col min="12" max="12" width="35.6640625" customWidth="1"/>
    <col min="13" max="13" width="23.1640625" customWidth="1"/>
  </cols>
  <sheetData>
    <row r="1" spans="1:13" x14ac:dyDescent="0.2">
      <c r="A1" t="s">
        <v>1014</v>
      </c>
      <c r="B1" t="s">
        <v>1015</v>
      </c>
      <c r="E1" t="s">
        <v>1016</v>
      </c>
      <c r="G1" t="s">
        <v>1104</v>
      </c>
      <c r="H1" t="s">
        <v>1103</v>
      </c>
      <c r="L1" t="s">
        <v>1105</v>
      </c>
      <c r="M1" t="s">
        <v>1106</v>
      </c>
    </row>
    <row r="2" spans="1:13" x14ac:dyDescent="0.2">
      <c r="A2" t="s">
        <v>0</v>
      </c>
      <c r="B2" t="s">
        <v>1</v>
      </c>
      <c r="E2" t="s">
        <v>1017</v>
      </c>
      <c r="G2" t="str">
        <f>IF(H2&lt;&gt;"", INDEX(A:A, MATCH(H2, E:E, 0)), "NA")</f>
        <v>Heuchera alba</v>
      </c>
      <c r="H2" t="str" cm="1">
        <f t="array" ref="H2:H456">_xlfn.UNIQUE(E2:E730)</f>
        <v>E306</v>
      </c>
      <c r="L2" t="s">
        <v>18</v>
      </c>
      <c r="M2">
        <f>COUNTIF(G:G, L2)</f>
        <v>235</v>
      </c>
    </row>
    <row r="3" spans="1:13" x14ac:dyDescent="0.2">
      <c r="A3" t="s">
        <v>0</v>
      </c>
      <c r="B3" t="s">
        <v>4</v>
      </c>
      <c r="E3" t="s">
        <v>1018</v>
      </c>
      <c r="G3" t="str">
        <f t="shared" ref="G3:G66" si="0">IF(H3&lt;&gt;"", INDEX(A:A, MATCH(H3, E:E, 0)), "NA")</f>
        <v>Heuchera alba</v>
      </c>
      <c r="H3" t="str">
        <v>H63</v>
      </c>
      <c r="L3" t="s">
        <v>526</v>
      </c>
      <c r="M3">
        <f t="shared" ref="M3:M6" si="1">COUNTIF(G:G, L3)</f>
        <v>69</v>
      </c>
    </row>
    <row r="4" spans="1:13" x14ac:dyDescent="0.2">
      <c r="A4" t="s">
        <v>0</v>
      </c>
      <c r="B4" t="s">
        <v>5</v>
      </c>
      <c r="E4" t="s">
        <v>1018</v>
      </c>
      <c r="G4" t="str">
        <f t="shared" si="0"/>
        <v>Heuchera alba</v>
      </c>
      <c r="H4" t="str">
        <v>H64</v>
      </c>
      <c r="L4" t="s">
        <v>865</v>
      </c>
      <c r="M4">
        <f t="shared" si="1"/>
        <v>46</v>
      </c>
    </row>
    <row r="5" spans="1:13" x14ac:dyDescent="0.2">
      <c r="A5" t="s">
        <v>0</v>
      </c>
      <c r="B5" t="s">
        <v>6</v>
      </c>
      <c r="E5" t="s">
        <v>1019</v>
      </c>
      <c r="G5" t="str">
        <f t="shared" si="0"/>
        <v>Heuchera alba</v>
      </c>
      <c r="H5" t="str">
        <v>I173</v>
      </c>
      <c r="L5" t="s">
        <v>1107</v>
      </c>
      <c r="M5">
        <f>455-SUM(M2:M4)</f>
        <v>105</v>
      </c>
    </row>
    <row r="6" spans="1:13" x14ac:dyDescent="0.2">
      <c r="A6" t="s">
        <v>0</v>
      </c>
      <c r="B6" t="s">
        <v>7</v>
      </c>
      <c r="E6" t="s">
        <v>1019</v>
      </c>
      <c r="G6" t="str">
        <f t="shared" si="0"/>
        <v>Heuchera alba</v>
      </c>
      <c r="H6" t="str">
        <v>I174</v>
      </c>
    </row>
    <row r="7" spans="1:13" x14ac:dyDescent="0.2">
      <c r="A7" t="s">
        <v>0</v>
      </c>
      <c r="B7" t="s">
        <v>8</v>
      </c>
      <c r="E7" t="s">
        <v>8</v>
      </c>
      <c r="G7" t="str">
        <f t="shared" si="0"/>
        <v>Heuchera alba</v>
      </c>
      <c r="H7" t="str">
        <v>I175</v>
      </c>
    </row>
    <row r="8" spans="1:13" x14ac:dyDescent="0.2">
      <c r="A8" t="s">
        <v>0</v>
      </c>
      <c r="B8" t="s">
        <v>9</v>
      </c>
      <c r="E8" t="s">
        <v>9</v>
      </c>
      <c r="G8" t="str">
        <f t="shared" si="0"/>
        <v>Heuchera alba</v>
      </c>
      <c r="H8" t="str">
        <v>I176</v>
      </c>
    </row>
    <row r="9" spans="1:13" x14ac:dyDescent="0.2">
      <c r="A9" t="s">
        <v>0</v>
      </c>
      <c r="B9" t="s">
        <v>10</v>
      </c>
      <c r="E9" t="s">
        <v>10</v>
      </c>
      <c r="G9" t="str">
        <f t="shared" si="0"/>
        <v>Heuchera alba</v>
      </c>
      <c r="H9" t="str">
        <v>I177</v>
      </c>
    </row>
    <row r="10" spans="1:13" x14ac:dyDescent="0.2">
      <c r="A10" t="s">
        <v>0</v>
      </c>
      <c r="B10" t="s">
        <v>11</v>
      </c>
      <c r="E10" t="s">
        <v>11</v>
      </c>
      <c r="G10" t="str">
        <f t="shared" si="0"/>
        <v>Heuchera alba</v>
      </c>
      <c r="H10" t="str">
        <v>I178</v>
      </c>
    </row>
    <row r="11" spans="1:13" x14ac:dyDescent="0.2">
      <c r="A11" t="s">
        <v>0</v>
      </c>
      <c r="B11" t="s">
        <v>12</v>
      </c>
      <c r="E11" t="s">
        <v>12</v>
      </c>
      <c r="G11" t="str">
        <f t="shared" si="0"/>
        <v>Heuchera alba</v>
      </c>
      <c r="H11" t="str">
        <v>I179</v>
      </c>
    </row>
    <row r="12" spans="1:13" x14ac:dyDescent="0.2">
      <c r="A12" t="s">
        <v>0</v>
      </c>
      <c r="B12" t="s">
        <v>13</v>
      </c>
      <c r="E12" t="s">
        <v>13</v>
      </c>
      <c r="G12" t="str">
        <f t="shared" si="0"/>
        <v>Heuchera alba</v>
      </c>
      <c r="H12" t="str">
        <v>I180</v>
      </c>
    </row>
    <row r="13" spans="1:13" x14ac:dyDescent="0.2">
      <c r="A13" t="s">
        <v>0</v>
      </c>
      <c r="B13" t="s">
        <v>14</v>
      </c>
      <c r="E13" t="s">
        <v>14</v>
      </c>
      <c r="G13" t="str">
        <f t="shared" si="0"/>
        <v>Heuchera alba</v>
      </c>
      <c r="H13" t="str">
        <v>I67</v>
      </c>
    </row>
    <row r="14" spans="1:13" x14ac:dyDescent="0.2">
      <c r="A14" t="s">
        <v>0</v>
      </c>
      <c r="B14" t="s">
        <v>15</v>
      </c>
      <c r="E14" t="s">
        <v>15</v>
      </c>
      <c r="G14" t="str">
        <f t="shared" si="0"/>
        <v>Heuchera americana var. americana</v>
      </c>
      <c r="H14" t="str">
        <v>A1</v>
      </c>
    </row>
    <row r="15" spans="1:13" x14ac:dyDescent="0.2">
      <c r="A15" t="s">
        <v>0</v>
      </c>
      <c r="B15" t="s">
        <v>16</v>
      </c>
      <c r="E15" t="s">
        <v>16</v>
      </c>
      <c r="G15" t="str">
        <f t="shared" si="0"/>
        <v>Heuchera americana var. americana</v>
      </c>
      <c r="H15" t="str">
        <v>A10</v>
      </c>
    </row>
    <row r="16" spans="1:13" x14ac:dyDescent="0.2">
      <c r="A16" t="s">
        <v>18</v>
      </c>
      <c r="B16" t="s">
        <v>19</v>
      </c>
      <c r="E16" t="s">
        <v>1020</v>
      </c>
      <c r="G16" t="str">
        <f t="shared" si="0"/>
        <v>Heuchera americana var. americana</v>
      </c>
      <c r="H16" t="str">
        <v>A11</v>
      </c>
    </row>
    <row r="17" spans="1:8" x14ac:dyDescent="0.2">
      <c r="A17" t="s">
        <v>18</v>
      </c>
      <c r="B17" t="s">
        <v>22</v>
      </c>
      <c r="E17" t="s">
        <v>1020</v>
      </c>
      <c r="G17" t="str">
        <f t="shared" si="0"/>
        <v>Heuchera americana var. americana</v>
      </c>
      <c r="H17" t="str">
        <v>A2</v>
      </c>
    </row>
    <row r="18" spans="1:8" x14ac:dyDescent="0.2">
      <c r="A18" t="s">
        <v>18</v>
      </c>
      <c r="B18" t="s">
        <v>23</v>
      </c>
      <c r="E18" t="s">
        <v>1020</v>
      </c>
      <c r="G18" t="str">
        <f t="shared" si="0"/>
        <v>Heuchera americana var. americana</v>
      </c>
      <c r="H18" t="str">
        <v>A3</v>
      </c>
    </row>
    <row r="19" spans="1:8" x14ac:dyDescent="0.2">
      <c r="A19" t="s">
        <v>18</v>
      </c>
      <c r="B19" t="s">
        <v>24</v>
      </c>
      <c r="E19" t="s">
        <v>1020</v>
      </c>
      <c r="G19" t="str">
        <f t="shared" si="0"/>
        <v>Heuchera americana var. americana</v>
      </c>
      <c r="H19" t="str">
        <v>A34</v>
      </c>
    </row>
    <row r="20" spans="1:8" x14ac:dyDescent="0.2">
      <c r="A20" t="s">
        <v>18</v>
      </c>
      <c r="B20" t="s">
        <v>25</v>
      </c>
      <c r="E20" t="s">
        <v>1021</v>
      </c>
      <c r="G20" t="str">
        <f t="shared" si="0"/>
        <v>Heuchera americana var. americana</v>
      </c>
      <c r="H20" t="str">
        <v>A35</v>
      </c>
    </row>
    <row r="21" spans="1:8" x14ac:dyDescent="0.2">
      <c r="A21" t="s">
        <v>18</v>
      </c>
      <c r="B21" t="s">
        <v>28</v>
      </c>
      <c r="E21" t="s">
        <v>1021</v>
      </c>
      <c r="G21" t="str">
        <f t="shared" si="0"/>
        <v>Heuchera americana var. americana</v>
      </c>
      <c r="H21" t="str">
        <v>A36</v>
      </c>
    </row>
    <row r="22" spans="1:8" x14ac:dyDescent="0.2">
      <c r="A22" t="s">
        <v>18</v>
      </c>
      <c r="B22" t="s">
        <v>29</v>
      </c>
      <c r="E22" t="s">
        <v>1021</v>
      </c>
      <c r="G22" t="str">
        <f t="shared" si="0"/>
        <v>Heuchera americana var. americana</v>
      </c>
      <c r="H22" t="str">
        <v>A4</v>
      </c>
    </row>
    <row r="23" spans="1:8" x14ac:dyDescent="0.2">
      <c r="A23" t="s">
        <v>18</v>
      </c>
      <c r="B23" t="s">
        <v>30</v>
      </c>
      <c r="E23" t="s">
        <v>1021</v>
      </c>
      <c r="G23" t="str">
        <f t="shared" si="0"/>
        <v>Heuchera americana var. americana</v>
      </c>
      <c r="H23" t="str">
        <v>A56</v>
      </c>
    </row>
    <row r="24" spans="1:8" x14ac:dyDescent="0.2">
      <c r="A24" t="s">
        <v>18</v>
      </c>
      <c r="B24" t="s">
        <v>31</v>
      </c>
      <c r="E24" t="s">
        <v>1021</v>
      </c>
      <c r="G24" t="str">
        <f t="shared" si="0"/>
        <v>Heuchera americana var. americana</v>
      </c>
      <c r="H24" t="str">
        <v>A57</v>
      </c>
    </row>
    <row r="25" spans="1:8" x14ac:dyDescent="0.2">
      <c r="A25" t="s">
        <v>18</v>
      </c>
      <c r="B25" t="s">
        <v>32</v>
      </c>
      <c r="E25" t="s">
        <v>1021</v>
      </c>
      <c r="G25" t="str">
        <f t="shared" si="0"/>
        <v>Heuchera americana var. americana</v>
      </c>
      <c r="H25" t="str">
        <v>A58</v>
      </c>
    </row>
    <row r="26" spans="1:8" x14ac:dyDescent="0.2">
      <c r="A26" t="s">
        <v>18</v>
      </c>
      <c r="B26" t="s">
        <v>33</v>
      </c>
      <c r="E26" t="s">
        <v>1021</v>
      </c>
      <c r="G26" t="str">
        <f t="shared" si="0"/>
        <v>Heuchera americana var. americana</v>
      </c>
      <c r="H26" t="str">
        <v>A59</v>
      </c>
    </row>
    <row r="27" spans="1:8" x14ac:dyDescent="0.2">
      <c r="A27" t="s">
        <v>18</v>
      </c>
      <c r="B27" t="s">
        <v>34</v>
      </c>
      <c r="E27" t="s">
        <v>1021</v>
      </c>
      <c r="G27" t="str">
        <f t="shared" si="0"/>
        <v>Heuchera americana var. americana</v>
      </c>
      <c r="H27" t="str">
        <v>A6</v>
      </c>
    </row>
    <row r="28" spans="1:8" x14ac:dyDescent="0.2">
      <c r="A28" t="s">
        <v>18</v>
      </c>
      <c r="B28" t="s">
        <v>35</v>
      </c>
      <c r="E28" t="s">
        <v>1022</v>
      </c>
      <c r="G28" t="str">
        <f t="shared" si="0"/>
        <v>Heuchera americana var. americana</v>
      </c>
      <c r="H28" t="str">
        <v>A60</v>
      </c>
    </row>
    <row r="29" spans="1:8" x14ac:dyDescent="0.2">
      <c r="A29" t="s">
        <v>18</v>
      </c>
      <c r="B29" t="s">
        <v>36</v>
      </c>
      <c r="E29" t="s">
        <v>1022</v>
      </c>
      <c r="G29" t="str">
        <f t="shared" si="0"/>
        <v>Heuchera americana var. americana</v>
      </c>
      <c r="H29" t="str">
        <v>A7</v>
      </c>
    </row>
    <row r="30" spans="1:8" x14ac:dyDescent="0.2">
      <c r="A30" t="s">
        <v>18</v>
      </c>
      <c r="B30" t="s">
        <v>37</v>
      </c>
      <c r="E30" t="s">
        <v>1022</v>
      </c>
      <c r="G30" t="str">
        <f t="shared" si="0"/>
        <v>Heuchera americana var. americana</v>
      </c>
      <c r="H30" t="str">
        <v>A8</v>
      </c>
    </row>
    <row r="31" spans="1:8" x14ac:dyDescent="0.2">
      <c r="A31" t="s">
        <v>18</v>
      </c>
      <c r="B31" t="s">
        <v>38</v>
      </c>
      <c r="E31" t="s">
        <v>1022</v>
      </c>
      <c r="G31" t="str">
        <f t="shared" si="0"/>
        <v>Heuchera americana var. americana</v>
      </c>
      <c r="H31" t="str">
        <v>E1</v>
      </c>
    </row>
    <row r="32" spans="1:8" x14ac:dyDescent="0.2">
      <c r="A32" t="s">
        <v>18</v>
      </c>
      <c r="B32" t="s">
        <v>39</v>
      </c>
      <c r="E32" t="s">
        <v>1022</v>
      </c>
      <c r="G32" t="str">
        <f t="shared" si="0"/>
        <v>Heuchera americana var. americana</v>
      </c>
      <c r="H32" t="str">
        <v>E10</v>
      </c>
    </row>
    <row r="33" spans="1:8" x14ac:dyDescent="0.2">
      <c r="A33" t="s">
        <v>18</v>
      </c>
      <c r="B33" t="s">
        <v>40</v>
      </c>
      <c r="E33" t="s">
        <v>1022</v>
      </c>
      <c r="G33" t="str">
        <f t="shared" si="0"/>
        <v>Heuchera americana var. americana</v>
      </c>
      <c r="H33" t="str">
        <v>E11</v>
      </c>
    </row>
    <row r="34" spans="1:8" x14ac:dyDescent="0.2">
      <c r="A34" t="s">
        <v>18</v>
      </c>
      <c r="B34" t="s">
        <v>41</v>
      </c>
      <c r="E34" t="s">
        <v>1022</v>
      </c>
      <c r="G34" t="str">
        <f t="shared" si="0"/>
        <v>Heuchera americana var. americana</v>
      </c>
      <c r="H34" t="str">
        <v>E12</v>
      </c>
    </row>
    <row r="35" spans="1:8" x14ac:dyDescent="0.2">
      <c r="A35" t="s">
        <v>18</v>
      </c>
      <c r="B35" t="s">
        <v>42</v>
      </c>
      <c r="E35" t="s">
        <v>1022</v>
      </c>
      <c r="G35" t="str">
        <f t="shared" si="0"/>
        <v>Heuchera americana var. americana</v>
      </c>
      <c r="H35" t="str">
        <v>E13</v>
      </c>
    </row>
    <row r="36" spans="1:8" x14ac:dyDescent="0.2">
      <c r="A36" t="s">
        <v>18</v>
      </c>
      <c r="B36" t="s">
        <v>43</v>
      </c>
      <c r="E36" t="s">
        <v>1023</v>
      </c>
      <c r="G36" t="str">
        <f t="shared" si="0"/>
        <v>Heuchera americana var. americana</v>
      </c>
      <c r="H36" t="str">
        <v>E14</v>
      </c>
    </row>
    <row r="37" spans="1:8" x14ac:dyDescent="0.2">
      <c r="A37" t="s">
        <v>18</v>
      </c>
      <c r="B37" t="s">
        <v>44</v>
      </c>
      <c r="E37" t="s">
        <v>1023</v>
      </c>
      <c r="G37" t="str">
        <f t="shared" si="0"/>
        <v>Heuchera americana var. americana</v>
      </c>
      <c r="H37" t="str">
        <v>E1415</v>
      </c>
    </row>
    <row r="38" spans="1:8" x14ac:dyDescent="0.2">
      <c r="A38" t="s">
        <v>18</v>
      </c>
      <c r="B38" t="s">
        <v>45</v>
      </c>
      <c r="E38" t="s">
        <v>1024</v>
      </c>
      <c r="G38" t="str">
        <f t="shared" si="0"/>
        <v>Heuchera americana var. americana</v>
      </c>
      <c r="H38" t="str">
        <v>E1416</v>
      </c>
    </row>
    <row r="39" spans="1:8" x14ac:dyDescent="0.2">
      <c r="A39" t="s">
        <v>18</v>
      </c>
      <c r="B39" t="s">
        <v>46</v>
      </c>
      <c r="E39" t="s">
        <v>1024</v>
      </c>
      <c r="G39" t="str">
        <f t="shared" si="0"/>
        <v>Heuchera americana var. americana</v>
      </c>
      <c r="H39" t="str">
        <v>E1417</v>
      </c>
    </row>
    <row r="40" spans="1:8" x14ac:dyDescent="0.2">
      <c r="A40" t="s">
        <v>18</v>
      </c>
      <c r="B40" t="s">
        <v>47</v>
      </c>
      <c r="E40" t="s">
        <v>1024</v>
      </c>
      <c r="G40" t="str">
        <f t="shared" si="0"/>
        <v>Heuchera americana var. americana</v>
      </c>
      <c r="H40" t="str">
        <v>E1418</v>
      </c>
    </row>
    <row r="41" spans="1:8" x14ac:dyDescent="0.2">
      <c r="A41" t="s">
        <v>18</v>
      </c>
      <c r="B41" t="s">
        <v>48</v>
      </c>
      <c r="E41" t="s">
        <v>1024</v>
      </c>
      <c r="G41" t="str">
        <f t="shared" si="0"/>
        <v>Heuchera americana var. americana</v>
      </c>
      <c r="H41" t="str">
        <v>E1419</v>
      </c>
    </row>
    <row r="42" spans="1:8" x14ac:dyDescent="0.2">
      <c r="A42" t="s">
        <v>18</v>
      </c>
      <c r="B42" t="s">
        <v>49</v>
      </c>
      <c r="E42" t="s">
        <v>1025</v>
      </c>
      <c r="G42" t="str">
        <f t="shared" si="0"/>
        <v>Heuchera americana var. americana</v>
      </c>
      <c r="H42" t="str">
        <v>E1420</v>
      </c>
    </row>
    <row r="43" spans="1:8" x14ac:dyDescent="0.2">
      <c r="A43" t="s">
        <v>18</v>
      </c>
      <c r="B43" t="s">
        <v>51</v>
      </c>
      <c r="E43" t="s">
        <v>1025</v>
      </c>
      <c r="G43" t="str">
        <f t="shared" si="0"/>
        <v>Heuchera americana var. americana</v>
      </c>
      <c r="H43" t="str">
        <v>E1421</v>
      </c>
    </row>
    <row r="44" spans="1:8" x14ac:dyDescent="0.2">
      <c r="A44" t="s">
        <v>18</v>
      </c>
      <c r="B44" t="s">
        <v>52</v>
      </c>
      <c r="E44" t="s">
        <v>1025</v>
      </c>
      <c r="G44" t="str">
        <f t="shared" si="0"/>
        <v>Heuchera americana var. americana</v>
      </c>
      <c r="H44" t="str">
        <v>E1422</v>
      </c>
    </row>
    <row r="45" spans="1:8" x14ac:dyDescent="0.2">
      <c r="A45" t="s">
        <v>18</v>
      </c>
      <c r="B45" t="s">
        <v>53</v>
      </c>
      <c r="E45" t="s">
        <v>1025</v>
      </c>
      <c r="G45" t="str">
        <f t="shared" si="0"/>
        <v>Heuchera americana var. americana</v>
      </c>
      <c r="H45" t="str">
        <v>E1423</v>
      </c>
    </row>
    <row r="46" spans="1:8" x14ac:dyDescent="0.2">
      <c r="A46" t="s">
        <v>18</v>
      </c>
      <c r="B46" t="s">
        <v>54</v>
      </c>
      <c r="E46" t="s">
        <v>1025</v>
      </c>
      <c r="G46" t="str">
        <f t="shared" si="0"/>
        <v>Heuchera americana var. americana</v>
      </c>
      <c r="H46" t="str">
        <v>E1425</v>
      </c>
    </row>
    <row r="47" spans="1:8" x14ac:dyDescent="0.2">
      <c r="A47" t="s">
        <v>18</v>
      </c>
      <c r="B47" t="s">
        <v>55</v>
      </c>
      <c r="E47" t="s">
        <v>1025</v>
      </c>
      <c r="G47" t="str">
        <f t="shared" si="0"/>
        <v>Heuchera americana var. americana</v>
      </c>
      <c r="H47" t="str">
        <v>E1426</v>
      </c>
    </row>
    <row r="48" spans="1:8" x14ac:dyDescent="0.2">
      <c r="A48" t="s">
        <v>18</v>
      </c>
      <c r="B48" t="s">
        <v>56</v>
      </c>
      <c r="E48" t="s">
        <v>1025</v>
      </c>
      <c r="G48" t="str">
        <f t="shared" si="0"/>
        <v>Heuchera americana var. americana</v>
      </c>
      <c r="H48" t="str">
        <v>E1427</v>
      </c>
    </row>
    <row r="49" spans="1:8" x14ac:dyDescent="0.2">
      <c r="A49" t="s">
        <v>18</v>
      </c>
      <c r="B49" t="s">
        <v>57</v>
      </c>
      <c r="E49" t="s">
        <v>1025</v>
      </c>
      <c r="G49" t="str">
        <f t="shared" si="0"/>
        <v>Heuchera americana var. americana</v>
      </c>
      <c r="H49" t="str">
        <v>E1428</v>
      </c>
    </row>
    <row r="50" spans="1:8" x14ac:dyDescent="0.2">
      <c r="A50" t="s">
        <v>18</v>
      </c>
      <c r="B50" t="s">
        <v>58</v>
      </c>
      <c r="E50" t="s">
        <v>1025</v>
      </c>
      <c r="G50" t="str">
        <f t="shared" si="0"/>
        <v>Heuchera americana var. americana</v>
      </c>
      <c r="H50" t="str">
        <v>E1429</v>
      </c>
    </row>
    <row r="51" spans="1:8" x14ac:dyDescent="0.2">
      <c r="A51" t="s">
        <v>18</v>
      </c>
      <c r="B51" t="s">
        <v>59</v>
      </c>
      <c r="E51" t="s">
        <v>1025</v>
      </c>
      <c r="G51" t="str">
        <f t="shared" si="0"/>
        <v>Heuchera americana var. americana</v>
      </c>
      <c r="H51" t="str">
        <v>E1430</v>
      </c>
    </row>
    <row r="52" spans="1:8" x14ac:dyDescent="0.2">
      <c r="A52" t="s">
        <v>18</v>
      </c>
      <c r="B52" t="s">
        <v>60</v>
      </c>
      <c r="E52" t="s">
        <v>1026</v>
      </c>
      <c r="G52" t="str">
        <f t="shared" si="0"/>
        <v>Heuchera americana var. americana</v>
      </c>
      <c r="H52" t="str">
        <v>E1432</v>
      </c>
    </row>
    <row r="53" spans="1:8" x14ac:dyDescent="0.2">
      <c r="A53" t="s">
        <v>18</v>
      </c>
      <c r="B53" t="s">
        <v>61</v>
      </c>
      <c r="E53" t="s">
        <v>1026</v>
      </c>
      <c r="G53" t="str">
        <f t="shared" si="0"/>
        <v>Heuchera americana var. americana</v>
      </c>
      <c r="H53" t="str">
        <v>E1433</v>
      </c>
    </row>
    <row r="54" spans="1:8" x14ac:dyDescent="0.2">
      <c r="A54" t="s">
        <v>18</v>
      </c>
      <c r="B54" t="s">
        <v>62</v>
      </c>
      <c r="E54" t="s">
        <v>1026</v>
      </c>
      <c r="G54" t="str">
        <f t="shared" si="0"/>
        <v>Heuchera americana var. americana</v>
      </c>
      <c r="H54" t="str">
        <v>E1449</v>
      </c>
    </row>
    <row r="55" spans="1:8" x14ac:dyDescent="0.2">
      <c r="A55" t="s">
        <v>18</v>
      </c>
      <c r="B55" t="s">
        <v>63</v>
      </c>
      <c r="E55" t="s">
        <v>1026</v>
      </c>
      <c r="G55" t="str">
        <f t="shared" si="0"/>
        <v>Heuchera americana var. americana</v>
      </c>
      <c r="H55" t="str">
        <v>E1450</v>
      </c>
    </row>
    <row r="56" spans="1:8" x14ac:dyDescent="0.2">
      <c r="A56" t="s">
        <v>18</v>
      </c>
      <c r="B56" t="s">
        <v>64</v>
      </c>
      <c r="E56" t="s">
        <v>1026</v>
      </c>
      <c r="G56" t="str">
        <f t="shared" si="0"/>
        <v>Heuchera americana var. americana</v>
      </c>
      <c r="H56" t="str">
        <v>E1451</v>
      </c>
    </row>
    <row r="57" spans="1:8" x14ac:dyDescent="0.2">
      <c r="A57" t="s">
        <v>18</v>
      </c>
      <c r="B57" t="s">
        <v>65</v>
      </c>
      <c r="E57" t="s">
        <v>1026</v>
      </c>
      <c r="G57" t="str">
        <f t="shared" si="0"/>
        <v>Heuchera americana var. americana</v>
      </c>
      <c r="H57" t="str">
        <v>E1452</v>
      </c>
    </row>
    <row r="58" spans="1:8" x14ac:dyDescent="0.2">
      <c r="A58" t="s">
        <v>18</v>
      </c>
      <c r="B58" t="s">
        <v>66</v>
      </c>
      <c r="E58" t="s">
        <v>1026</v>
      </c>
      <c r="G58" t="str">
        <f t="shared" si="0"/>
        <v>Heuchera americana var. americana</v>
      </c>
      <c r="H58" t="str">
        <v>E1453</v>
      </c>
    </row>
    <row r="59" spans="1:8" x14ac:dyDescent="0.2">
      <c r="A59" t="s">
        <v>18</v>
      </c>
      <c r="B59" t="s">
        <v>67</v>
      </c>
      <c r="E59" t="s">
        <v>1026</v>
      </c>
      <c r="G59" t="str">
        <f t="shared" si="0"/>
        <v>Heuchera americana var. americana</v>
      </c>
      <c r="H59" t="str">
        <v>E1454</v>
      </c>
    </row>
    <row r="60" spans="1:8" x14ac:dyDescent="0.2">
      <c r="A60" t="s">
        <v>18</v>
      </c>
      <c r="B60" t="s">
        <v>68</v>
      </c>
      <c r="E60" t="s">
        <v>1026</v>
      </c>
      <c r="G60" t="str">
        <f t="shared" si="0"/>
        <v>Heuchera americana var. americana</v>
      </c>
      <c r="H60" t="str">
        <v>E1455</v>
      </c>
    </row>
    <row r="61" spans="1:8" x14ac:dyDescent="0.2">
      <c r="A61" t="s">
        <v>18</v>
      </c>
      <c r="B61" t="s">
        <v>69</v>
      </c>
      <c r="E61" t="s">
        <v>1026</v>
      </c>
      <c r="G61" t="str">
        <f t="shared" si="0"/>
        <v>Heuchera americana var. americana</v>
      </c>
      <c r="H61" t="str">
        <v>E1456</v>
      </c>
    </row>
    <row r="62" spans="1:8" x14ac:dyDescent="0.2">
      <c r="A62" t="s">
        <v>18</v>
      </c>
      <c r="B62" t="s">
        <v>70</v>
      </c>
      <c r="E62" t="s">
        <v>70</v>
      </c>
      <c r="G62" t="str">
        <f t="shared" si="0"/>
        <v>Heuchera americana var. americana</v>
      </c>
      <c r="H62" t="str">
        <v>E1457</v>
      </c>
    </row>
    <row r="63" spans="1:8" x14ac:dyDescent="0.2">
      <c r="A63" t="s">
        <v>18</v>
      </c>
      <c r="B63" t="s">
        <v>72</v>
      </c>
      <c r="E63" t="s">
        <v>1027</v>
      </c>
      <c r="G63" t="str">
        <f t="shared" si="0"/>
        <v>Heuchera americana var. americana</v>
      </c>
      <c r="H63" t="str">
        <v>E1458</v>
      </c>
    </row>
    <row r="64" spans="1:8" x14ac:dyDescent="0.2">
      <c r="A64" t="s">
        <v>18</v>
      </c>
      <c r="B64" t="s">
        <v>74</v>
      </c>
      <c r="E64" t="s">
        <v>1027</v>
      </c>
      <c r="G64" t="str">
        <f t="shared" si="0"/>
        <v>Heuchera americana var. americana</v>
      </c>
      <c r="H64" t="str">
        <v>E1467</v>
      </c>
    </row>
    <row r="65" spans="1:8" x14ac:dyDescent="0.2">
      <c r="A65" t="s">
        <v>18</v>
      </c>
      <c r="B65" t="s">
        <v>75</v>
      </c>
      <c r="E65" t="s">
        <v>1027</v>
      </c>
      <c r="G65" t="str">
        <f t="shared" si="0"/>
        <v>Heuchera americana var. americana</v>
      </c>
      <c r="H65" t="str">
        <v>E1472</v>
      </c>
    </row>
    <row r="66" spans="1:8" x14ac:dyDescent="0.2">
      <c r="A66" t="s">
        <v>18</v>
      </c>
      <c r="B66" t="s">
        <v>76</v>
      </c>
      <c r="E66" t="s">
        <v>1027</v>
      </c>
      <c r="G66" t="str">
        <f t="shared" si="0"/>
        <v>Heuchera americana var. americana</v>
      </c>
      <c r="H66" t="str">
        <v>E1476</v>
      </c>
    </row>
    <row r="67" spans="1:8" x14ac:dyDescent="0.2">
      <c r="A67" t="s">
        <v>18</v>
      </c>
      <c r="B67" t="s">
        <v>77</v>
      </c>
      <c r="E67" t="s">
        <v>1027</v>
      </c>
      <c r="G67" t="str">
        <f t="shared" ref="G67:G130" si="2">IF(H67&lt;&gt;"", INDEX(A:A, MATCH(H67, E:E, 0)), "NA")</f>
        <v>Heuchera americana var. americana</v>
      </c>
      <c r="H67" t="str">
        <v>E1477</v>
      </c>
    </row>
    <row r="68" spans="1:8" x14ac:dyDescent="0.2">
      <c r="A68" t="s">
        <v>18</v>
      </c>
      <c r="B68" t="s">
        <v>78</v>
      </c>
      <c r="E68" t="s">
        <v>1028</v>
      </c>
      <c r="G68" t="str">
        <f t="shared" si="2"/>
        <v>Heuchera americana var. americana</v>
      </c>
      <c r="H68" t="str">
        <v>E1478</v>
      </c>
    </row>
    <row r="69" spans="1:8" x14ac:dyDescent="0.2">
      <c r="A69" t="s">
        <v>18</v>
      </c>
      <c r="B69" t="s">
        <v>81</v>
      </c>
      <c r="E69" t="s">
        <v>1028</v>
      </c>
      <c r="G69" t="str">
        <f t="shared" si="2"/>
        <v>Heuchera americana var. americana</v>
      </c>
      <c r="H69" t="str">
        <v>E1480</v>
      </c>
    </row>
    <row r="70" spans="1:8" x14ac:dyDescent="0.2">
      <c r="A70" t="s">
        <v>18</v>
      </c>
      <c r="B70" t="s">
        <v>82</v>
      </c>
      <c r="E70" t="s">
        <v>1028</v>
      </c>
      <c r="G70" t="str">
        <f t="shared" si="2"/>
        <v>Heuchera americana var. americana</v>
      </c>
      <c r="H70" t="str">
        <v>E1481</v>
      </c>
    </row>
    <row r="71" spans="1:8" x14ac:dyDescent="0.2">
      <c r="A71" t="s">
        <v>18</v>
      </c>
      <c r="B71" t="s">
        <v>83</v>
      </c>
      <c r="E71" t="s">
        <v>1028</v>
      </c>
      <c r="G71" t="str">
        <f t="shared" si="2"/>
        <v>Heuchera americana var. americana</v>
      </c>
      <c r="H71" t="str">
        <v>E1483</v>
      </c>
    </row>
    <row r="72" spans="1:8" x14ac:dyDescent="0.2">
      <c r="A72" t="s">
        <v>18</v>
      </c>
      <c r="B72" t="s">
        <v>84</v>
      </c>
      <c r="E72" t="s">
        <v>1028</v>
      </c>
      <c r="G72" t="str">
        <f t="shared" si="2"/>
        <v>Heuchera americana var. americana</v>
      </c>
      <c r="H72" t="str">
        <v>E1484</v>
      </c>
    </row>
    <row r="73" spans="1:8" x14ac:dyDescent="0.2">
      <c r="A73" t="s">
        <v>18</v>
      </c>
      <c r="B73" t="s">
        <v>85</v>
      </c>
      <c r="E73" t="s">
        <v>1028</v>
      </c>
      <c r="G73" t="str">
        <f t="shared" si="2"/>
        <v>Heuchera americana var. americana</v>
      </c>
      <c r="H73" t="str">
        <v>E1485</v>
      </c>
    </row>
    <row r="74" spans="1:8" x14ac:dyDescent="0.2">
      <c r="A74" t="s">
        <v>18</v>
      </c>
      <c r="B74" t="s">
        <v>86</v>
      </c>
      <c r="E74" t="s">
        <v>1028</v>
      </c>
      <c r="G74" t="str">
        <f t="shared" si="2"/>
        <v>Heuchera americana var. americana</v>
      </c>
      <c r="H74" t="str">
        <v>E1486</v>
      </c>
    </row>
    <row r="75" spans="1:8" x14ac:dyDescent="0.2">
      <c r="A75" t="s">
        <v>18</v>
      </c>
      <c r="B75" t="s">
        <v>87</v>
      </c>
      <c r="E75" t="s">
        <v>87</v>
      </c>
      <c r="G75" t="str">
        <f t="shared" si="2"/>
        <v>Heuchera americana var. americana</v>
      </c>
      <c r="H75" t="str">
        <v>E1487</v>
      </c>
    </row>
    <row r="76" spans="1:8" x14ac:dyDescent="0.2">
      <c r="A76" t="s">
        <v>18</v>
      </c>
      <c r="B76" t="s">
        <v>88</v>
      </c>
      <c r="E76" t="s">
        <v>1029</v>
      </c>
      <c r="G76" t="str">
        <f t="shared" si="2"/>
        <v>Heuchera americana var. americana</v>
      </c>
      <c r="H76" t="str">
        <v>E1488</v>
      </c>
    </row>
    <row r="77" spans="1:8" x14ac:dyDescent="0.2">
      <c r="A77" t="s">
        <v>18</v>
      </c>
      <c r="B77" t="s">
        <v>89</v>
      </c>
      <c r="E77" t="s">
        <v>1029</v>
      </c>
      <c r="G77" t="str">
        <f t="shared" si="2"/>
        <v>Heuchera americana var. americana</v>
      </c>
      <c r="H77" t="str">
        <v>E1490</v>
      </c>
    </row>
    <row r="78" spans="1:8" x14ac:dyDescent="0.2">
      <c r="A78" t="s">
        <v>18</v>
      </c>
      <c r="B78" t="s">
        <v>90</v>
      </c>
      <c r="E78" t="s">
        <v>1029</v>
      </c>
      <c r="G78" t="str">
        <f t="shared" si="2"/>
        <v>Heuchera americana var. americana</v>
      </c>
      <c r="H78" t="str">
        <v>E1491</v>
      </c>
    </row>
    <row r="79" spans="1:8" x14ac:dyDescent="0.2">
      <c r="A79" t="s">
        <v>18</v>
      </c>
      <c r="B79" t="s">
        <v>91</v>
      </c>
      <c r="E79" t="s">
        <v>1029</v>
      </c>
      <c r="G79" t="str">
        <f t="shared" si="2"/>
        <v>Heuchera americana var. americana</v>
      </c>
      <c r="H79" t="str">
        <v>E1492</v>
      </c>
    </row>
    <row r="80" spans="1:8" x14ac:dyDescent="0.2">
      <c r="A80" t="s">
        <v>18</v>
      </c>
      <c r="B80" t="s">
        <v>92</v>
      </c>
      <c r="E80" t="s">
        <v>1030</v>
      </c>
      <c r="G80" t="str">
        <f t="shared" si="2"/>
        <v>Heuchera americana var. americana</v>
      </c>
      <c r="H80" t="str">
        <v>E1493</v>
      </c>
    </row>
    <row r="81" spans="1:8" x14ac:dyDescent="0.2">
      <c r="A81" t="s">
        <v>18</v>
      </c>
      <c r="B81" t="s">
        <v>93</v>
      </c>
      <c r="E81" t="s">
        <v>1030</v>
      </c>
      <c r="G81" t="str">
        <f t="shared" si="2"/>
        <v>Heuchera americana var. americana</v>
      </c>
      <c r="H81" t="str">
        <v>E1494</v>
      </c>
    </row>
    <row r="82" spans="1:8" x14ac:dyDescent="0.2">
      <c r="A82" t="s">
        <v>18</v>
      </c>
      <c r="B82" t="s">
        <v>94</v>
      </c>
      <c r="E82" t="s">
        <v>1030</v>
      </c>
      <c r="G82" t="str">
        <f t="shared" si="2"/>
        <v>Heuchera americana var. americana</v>
      </c>
      <c r="H82" t="str">
        <v>E1495</v>
      </c>
    </row>
    <row r="83" spans="1:8" x14ac:dyDescent="0.2">
      <c r="A83" t="s">
        <v>18</v>
      </c>
      <c r="B83" t="s">
        <v>95</v>
      </c>
      <c r="E83" t="s">
        <v>1030</v>
      </c>
      <c r="G83" t="str">
        <f t="shared" si="2"/>
        <v>Heuchera americana var. americana</v>
      </c>
      <c r="H83" t="str">
        <v>E1496</v>
      </c>
    </row>
    <row r="84" spans="1:8" x14ac:dyDescent="0.2">
      <c r="A84" t="s">
        <v>18</v>
      </c>
      <c r="B84" t="s">
        <v>96</v>
      </c>
      <c r="E84" t="s">
        <v>1030</v>
      </c>
      <c r="G84" t="str">
        <f t="shared" si="2"/>
        <v>Heuchera americana var. americana</v>
      </c>
      <c r="H84" t="str">
        <v>E1498</v>
      </c>
    </row>
    <row r="85" spans="1:8" x14ac:dyDescent="0.2">
      <c r="A85" t="s">
        <v>18</v>
      </c>
      <c r="B85" t="s">
        <v>97</v>
      </c>
      <c r="E85" t="s">
        <v>1030</v>
      </c>
      <c r="G85" t="str">
        <f t="shared" si="2"/>
        <v>Heuchera americana var. americana</v>
      </c>
      <c r="H85" t="str">
        <v>E1499</v>
      </c>
    </row>
    <row r="86" spans="1:8" x14ac:dyDescent="0.2">
      <c r="A86" t="s">
        <v>18</v>
      </c>
      <c r="B86" t="s">
        <v>98</v>
      </c>
      <c r="E86" t="s">
        <v>1030</v>
      </c>
      <c r="G86" t="str">
        <f t="shared" si="2"/>
        <v>Heuchera americana var. americana</v>
      </c>
      <c r="H86" t="str">
        <v>E15</v>
      </c>
    </row>
    <row r="87" spans="1:8" x14ac:dyDescent="0.2">
      <c r="A87" t="s">
        <v>18</v>
      </c>
      <c r="B87" t="s">
        <v>99</v>
      </c>
      <c r="E87" t="s">
        <v>1030</v>
      </c>
      <c r="G87" t="str">
        <f t="shared" si="2"/>
        <v>Heuchera americana var. americana</v>
      </c>
      <c r="H87" t="str">
        <v>E1500</v>
      </c>
    </row>
    <row r="88" spans="1:8" x14ac:dyDescent="0.2">
      <c r="A88" t="s">
        <v>18</v>
      </c>
      <c r="B88" t="s">
        <v>100</v>
      </c>
      <c r="E88" t="s">
        <v>1030</v>
      </c>
      <c r="G88" t="str">
        <f t="shared" si="2"/>
        <v>Heuchera americana var. americana</v>
      </c>
      <c r="H88" t="str">
        <v>E1501</v>
      </c>
    </row>
    <row r="89" spans="1:8" x14ac:dyDescent="0.2">
      <c r="A89" t="s">
        <v>18</v>
      </c>
      <c r="B89" t="s">
        <v>101</v>
      </c>
      <c r="E89" t="s">
        <v>1031</v>
      </c>
      <c r="G89" t="str">
        <f t="shared" si="2"/>
        <v>Heuchera americana var. americana</v>
      </c>
      <c r="H89" t="str">
        <v>E1502</v>
      </c>
    </row>
    <row r="90" spans="1:8" x14ac:dyDescent="0.2">
      <c r="A90" t="s">
        <v>18</v>
      </c>
      <c r="B90" t="s">
        <v>102</v>
      </c>
      <c r="E90" t="s">
        <v>1031</v>
      </c>
      <c r="G90" t="str">
        <f t="shared" si="2"/>
        <v>Heuchera americana var. americana</v>
      </c>
      <c r="H90" t="str">
        <v>E1503</v>
      </c>
    </row>
    <row r="91" spans="1:8" x14ac:dyDescent="0.2">
      <c r="A91" t="s">
        <v>18</v>
      </c>
      <c r="B91" t="s">
        <v>103</v>
      </c>
      <c r="E91" t="s">
        <v>1031</v>
      </c>
      <c r="G91" t="str">
        <f t="shared" si="2"/>
        <v>Heuchera americana var. americana</v>
      </c>
      <c r="H91" t="str">
        <v>E1504</v>
      </c>
    </row>
    <row r="92" spans="1:8" x14ac:dyDescent="0.2">
      <c r="A92" t="s">
        <v>18</v>
      </c>
      <c r="B92" t="s">
        <v>104</v>
      </c>
      <c r="E92" t="s">
        <v>1032</v>
      </c>
      <c r="G92" t="str">
        <f t="shared" si="2"/>
        <v>Heuchera americana var. americana</v>
      </c>
      <c r="H92" t="str">
        <v>E1505</v>
      </c>
    </row>
    <row r="93" spans="1:8" x14ac:dyDescent="0.2">
      <c r="A93" t="s">
        <v>18</v>
      </c>
      <c r="B93" t="s">
        <v>105</v>
      </c>
      <c r="E93" t="s">
        <v>1032</v>
      </c>
      <c r="G93" t="str">
        <f t="shared" si="2"/>
        <v>Heuchera americana var. americana</v>
      </c>
      <c r="H93" t="str">
        <v>E1506</v>
      </c>
    </row>
    <row r="94" spans="1:8" x14ac:dyDescent="0.2">
      <c r="A94" t="s">
        <v>18</v>
      </c>
      <c r="B94" t="s">
        <v>106</v>
      </c>
      <c r="E94" t="s">
        <v>1032</v>
      </c>
      <c r="G94" t="str">
        <f t="shared" si="2"/>
        <v>Heuchera americana var. americana</v>
      </c>
      <c r="H94" t="str">
        <v>E1507</v>
      </c>
    </row>
    <row r="95" spans="1:8" x14ac:dyDescent="0.2">
      <c r="A95" t="s">
        <v>18</v>
      </c>
      <c r="B95" t="s">
        <v>107</v>
      </c>
      <c r="E95" t="s">
        <v>1032</v>
      </c>
      <c r="G95" t="str">
        <f t="shared" si="2"/>
        <v>Heuchera americana var. americana</v>
      </c>
      <c r="H95" t="str">
        <v>E1508</v>
      </c>
    </row>
    <row r="96" spans="1:8" x14ac:dyDescent="0.2">
      <c r="A96" t="s">
        <v>18</v>
      </c>
      <c r="B96" t="s">
        <v>108</v>
      </c>
      <c r="E96" t="s">
        <v>1033</v>
      </c>
      <c r="G96" t="str">
        <f t="shared" si="2"/>
        <v>Heuchera americana var. americana</v>
      </c>
      <c r="H96" t="str">
        <v>E1510</v>
      </c>
    </row>
    <row r="97" spans="1:8" x14ac:dyDescent="0.2">
      <c r="A97" t="s">
        <v>18</v>
      </c>
      <c r="B97" t="s">
        <v>110</v>
      </c>
      <c r="E97" t="s">
        <v>1033</v>
      </c>
      <c r="G97" t="str">
        <f t="shared" si="2"/>
        <v>Heuchera americana var. americana</v>
      </c>
      <c r="H97" t="str">
        <v>E1511</v>
      </c>
    </row>
    <row r="98" spans="1:8" x14ac:dyDescent="0.2">
      <c r="A98" t="s">
        <v>18</v>
      </c>
      <c r="B98" t="s">
        <v>111</v>
      </c>
      <c r="E98" t="s">
        <v>1033</v>
      </c>
      <c r="G98" t="str">
        <f t="shared" si="2"/>
        <v>Heuchera americana var. americana</v>
      </c>
      <c r="H98" t="str">
        <v>E1512</v>
      </c>
    </row>
    <row r="99" spans="1:8" x14ac:dyDescent="0.2">
      <c r="A99" t="s">
        <v>18</v>
      </c>
      <c r="B99" t="s">
        <v>112</v>
      </c>
      <c r="E99" t="s">
        <v>1033</v>
      </c>
      <c r="G99" t="str">
        <f t="shared" si="2"/>
        <v>Heuchera americana var. americana</v>
      </c>
      <c r="H99" t="str">
        <v>E1513</v>
      </c>
    </row>
    <row r="100" spans="1:8" x14ac:dyDescent="0.2">
      <c r="A100" t="s">
        <v>18</v>
      </c>
      <c r="B100" t="s">
        <v>113</v>
      </c>
      <c r="E100" t="s">
        <v>113</v>
      </c>
      <c r="G100" t="str">
        <f t="shared" si="2"/>
        <v>Heuchera americana var. americana</v>
      </c>
      <c r="H100" t="str">
        <v>E1514</v>
      </c>
    </row>
    <row r="101" spans="1:8" x14ac:dyDescent="0.2">
      <c r="A101" t="s">
        <v>18</v>
      </c>
      <c r="B101" t="s">
        <v>114</v>
      </c>
      <c r="E101" t="s">
        <v>114</v>
      </c>
      <c r="G101" t="str">
        <f t="shared" si="2"/>
        <v>Heuchera americana var. americana</v>
      </c>
      <c r="H101" t="str">
        <v>E1522</v>
      </c>
    </row>
    <row r="102" spans="1:8" x14ac:dyDescent="0.2">
      <c r="A102" t="s">
        <v>18</v>
      </c>
      <c r="B102" t="s">
        <v>116</v>
      </c>
      <c r="E102" t="s">
        <v>116</v>
      </c>
      <c r="G102" t="str">
        <f t="shared" si="2"/>
        <v>Heuchera americana var. americana</v>
      </c>
      <c r="H102" t="str">
        <v>E1541</v>
      </c>
    </row>
    <row r="103" spans="1:8" x14ac:dyDescent="0.2">
      <c r="A103" t="s">
        <v>18</v>
      </c>
      <c r="B103" t="s">
        <v>118</v>
      </c>
      <c r="E103" t="s">
        <v>118</v>
      </c>
      <c r="G103" t="str">
        <f t="shared" si="2"/>
        <v>Heuchera americana var. americana</v>
      </c>
      <c r="H103" t="str">
        <v>E1542</v>
      </c>
    </row>
    <row r="104" spans="1:8" x14ac:dyDescent="0.2">
      <c r="A104" t="s">
        <v>18</v>
      </c>
      <c r="B104" t="s">
        <v>120</v>
      </c>
      <c r="E104" t="s">
        <v>120</v>
      </c>
      <c r="G104" t="str">
        <f t="shared" si="2"/>
        <v>Heuchera americana var. americana</v>
      </c>
      <c r="H104" t="str">
        <v>E1544</v>
      </c>
    </row>
    <row r="105" spans="1:8" x14ac:dyDescent="0.2">
      <c r="A105" t="s">
        <v>18</v>
      </c>
      <c r="B105" t="s">
        <v>122</v>
      </c>
      <c r="E105" t="s">
        <v>122</v>
      </c>
      <c r="G105" t="str">
        <f t="shared" si="2"/>
        <v>Heuchera americana var. americana</v>
      </c>
      <c r="H105" t="str">
        <v>E1545</v>
      </c>
    </row>
    <row r="106" spans="1:8" x14ac:dyDescent="0.2">
      <c r="A106" t="s">
        <v>18</v>
      </c>
      <c r="B106" t="s">
        <v>124</v>
      </c>
      <c r="E106" t="s">
        <v>124</v>
      </c>
      <c r="G106" t="str">
        <f t="shared" si="2"/>
        <v>Heuchera americana var. americana</v>
      </c>
      <c r="H106" t="str">
        <v>E1581</v>
      </c>
    </row>
    <row r="107" spans="1:8" x14ac:dyDescent="0.2">
      <c r="A107" t="s">
        <v>18</v>
      </c>
      <c r="B107" t="s">
        <v>126</v>
      </c>
      <c r="E107" t="s">
        <v>126</v>
      </c>
      <c r="G107" t="str">
        <f t="shared" si="2"/>
        <v>Heuchera americana var. americana</v>
      </c>
      <c r="H107" t="str">
        <v>E16</v>
      </c>
    </row>
    <row r="108" spans="1:8" x14ac:dyDescent="0.2">
      <c r="A108" t="s">
        <v>18</v>
      </c>
      <c r="B108" t="s">
        <v>128</v>
      </c>
      <c r="E108" t="s">
        <v>128</v>
      </c>
      <c r="G108" t="str">
        <f t="shared" si="2"/>
        <v>Heuchera americana var. americana</v>
      </c>
      <c r="H108" t="str">
        <v>E1682</v>
      </c>
    </row>
    <row r="109" spans="1:8" x14ac:dyDescent="0.2">
      <c r="A109" t="s">
        <v>18</v>
      </c>
      <c r="B109" t="s">
        <v>130</v>
      </c>
      <c r="E109" t="s">
        <v>130</v>
      </c>
      <c r="G109" t="str">
        <f t="shared" si="2"/>
        <v>Heuchera americana var. americana</v>
      </c>
      <c r="H109" t="str">
        <v>E1683</v>
      </c>
    </row>
    <row r="110" spans="1:8" x14ac:dyDescent="0.2">
      <c r="A110" t="s">
        <v>18</v>
      </c>
      <c r="B110" t="s">
        <v>132</v>
      </c>
      <c r="E110" t="s">
        <v>132</v>
      </c>
      <c r="G110" t="str">
        <f t="shared" si="2"/>
        <v>Heuchera americana var. americana</v>
      </c>
      <c r="H110" t="str">
        <v>E1684</v>
      </c>
    </row>
    <row r="111" spans="1:8" x14ac:dyDescent="0.2">
      <c r="A111" t="s">
        <v>18</v>
      </c>
      <c r="B111" t="s">
        <v>134</v>
      </c>
      <c r="E111" t="s">
        <v>134</v>
      </c>
      <c r="G111" t="str">
        <f t="shared" si="2"/>
        <v>Heuchera americana var. americana</v>
      </c>
      <c r="H111" t="str">
        <v>E1685</v>
      </c>
    </row>
    <row r="112" spans="1:8" x14ac:dyDescent="0.2">
      <c r="A112" t="s">
        <v>18</v>
      </c>
      <c r="B112" t="s">
        <v>136</v>
      </c>
      <c r="E112" t="s">
        <v>136</v>
      </c>
      <c r="G112" t="str">
        <f t="shared" si="2"/>
        <v>Heuchera americana var. americana</v>
      </c>
      <c r="H112" t="str">
        <v>E1686</v>
      </c>
    </row>
    <row r="113" spans="1:8" x14ac:dyDescent="0.2">
      <c r="A113" t="s">
        <v>18</v>
      </c>
      <c r="B113" t="s">
        <v>137</v>
      </c>
      <c r="E113" t="s">
        <v>137</v>
      </c>
      <c r="G113" t="str">
        <f t="shared" si="2"/>
        <v>Heuchera americana var. americana</v>
      </c>
      <c r="H113" t="str">
        <v>E1687</v>
      </c>
    </row>
    <row r="114" spans="1:8" x14ac:dyDescent="0.2">
      <c r="A114" t="s">
        <v>18</v>
      </c>
      <c r="B114" t="s">
        <v>139</v>
      </c>
      <c r="E114" t="s">
        <v>139</v>
      </c>
      <c r="G114" t="str">
        <f t="shared" si="2"/>
        <v>Heuchera americana var. americana</v>
      </c>
      <c r="H114" t="str">
        <v>E1688</v>
      </c>
    </row>
    <row r="115" spans="1:8" x14ac:dyDescent="0.2">
      <c r="A115" t="s">
        <v>18</v>
      </c>
      <c r="B115" t="s">
        <v>141</v>
      </c>
      <c r="E115" t="s">
        <v>141</v>
      </c>
      <c r="G115" t="str">
        <f t="shared" si="2"/>
        <v>Heuchera americana var. americana</v>
      </c>
      <c r="H115" t="str">
        <v>E1689</v>
      </c>
    </row>
    <row r="116" spans="1:8" x14ac:dyDescent="0.2">
      <c r="A116" t="s">
        <v>18</v>
      </c>
      <c r="B116" t="s">
        <v>143</v>
      </c>
      <c r="E116" t="s">
        <v>143</v>
      </c>
      <c r="G116" t="str">
        <f t="shared" si="2"/>
        <v>Heuchera americana var. americana</v>
      </c>
      <c r="H116" t="str">
        <v>E1690</v>
      </c>
    </row>
    <row r="117" spans="1:8" x14ac:dyDescent="0.2">
      <c r="A117" t="s">
        <v>18</v>
      </c>
      <c r="B117" t="s">
        <v>145</v>
      </c>
      <c r="E117" t="s">
        <v>145</v>
      </c>
      <c r="G117" t="str">
        <f t="shared" si="2"/>
        <v>Heuchera americana var. americana</v>
      </c>
      <c r="H117" t="str">
        <v>E1691</v>
      </c>
    </row>
    <row r="118" spans="1:8" x14ac:dyDescent="0.2">
      <c r="A118" t="s">
        <v>18</v>
      </c>
      <c r="B118" t="s">
        <v>147</v>
      </c>
      <c r="E118" t="s">
        <v>147</v>
      </c>
      <c r="G118" t="str">
        <f t="shared" si="2"/>
        <v>Heuchera americana var. americana</v>
      </c>
      <c r="H118" t="str">
        <v>E1692</v>
      </c>
    </row>
    <row r="119" spans="1:8" x14ac:dyDescent="0.2">
      <c r="A119" t="s">
        <v>18</v>
      </c>
      <c r="B119" t="s">
        <v>149</v>
      </c>
      <c r="E119" t="s">
        <v>149</v>
      </c>
      <c r="G119" t="str">
        <f t="shared" si="2"/>
        <v>Heuchera americana var. americana</v>
      </c>
      <c r="H119" t="str">
        <v>E17</v>
      </c>
    </row>
    <row r="120" spans="1:8" x14ac:dyDescent="0.2">
      <c r="A120" t="s">
        <v>18</v>
      </c>
      <c r="B120" t="s">
        <v>151</v>
      </c>
      <c r="E120" t="s">
        <v>151</v>
      </c>
      <c r="G120" t="str">
        <f t="shared" si="2"/>
        <v>Heuchera americana var. americana</v>
      </c>
      <c r="H120" t="str">
        <v>E1709</v>
      </c>
    </row>
    <row r="121" spans="1:8" x14ac:dyDescent="0.2">
      <c r="A121" t="s">
        <v>18</v>
      </c>
      <c r="B121" t="s">
        <v>152</v>
      </c>
      <c r="E121" t="s">
        <v>152</v>
      </c>
      <c r="G121" t="str">
        <f t="shared" si="2"/>
        <v>Heuchera americana var. americana</v>
      </c>
      <c r="H121" t="str">
        <v>E18</v>
      </c>
    </row>
    <row r="122" spans="1:8" x14ac:dyDescent="0.2">
      <c r="A122" t="s">
        <v>18</v>
      </c>
      <c r="B122" t="s">
        <v>153</v>
      </c>
      <c r="E122" t="s">
        <v>153</v>
      </c>
      <c r="G122" t="str">
        <f t="shared" si="2"/>
        <v>Heuchera americana var. americana</v>
      </c>
      <c r="H122" t="str">
        <v>E1852</v>
      </c>
    </row>
    <row r="123" spans="1:8" x14ac:dyDescent="0.2">
      <c r="A123" t="s">
        <v>18</v>
      </c>
      <c r="B123" t="s">
        <v>155</v>
      </c>
      <c r="E123" t="s">
        <v>155</v>
      </c>
      <c r="G123" t="str">
        <f t="shared" si="2"/>
        <v>Heuchera americana var. americana</v>
      </c>
      <c r="H123" t="str">
        <v>E1853</v>
      </c>
    </row>
    <row r="124" spans="1:8" x14ac:dyDescent="0.2">
      <c r="A124" t="s">
        <v>18</v>
      </c>
      <c r="B124" t="s">
        <v>157</v>
      </c>
      <c r="E124" t="s">
        <v>157</v>
      </c>
      <c r="G124" t="str">
        <f t="shared" si="2"/>
        <v>Heuchera americana var. americana</v>
      </c>
      <c r="H124" t="str">
        <v>E1854</v>
      </c>
    </row>
    <row r="125" spans="1:8" x14ac:dyDescent="0.2">
      <c r="A125" t="s">
        <v>18</v>
      </c>
      <c r="B125" t="s">
        <v>159</v>
      </c>
      <c r="E125" t="s">
        <v>159</v>
      </c>
      <c r="G125" t="str">
        <f t="shared" si="2"/>
        <v>Heuchera americana var. americana</v>
      </c>
      <c r="H125" t="str">
        <v>E1855</v>
      </c>
    </row>
    <row r="126" spans="1:8" x14ac:dyDescent="0.2">
      <c r="A126" t="s">
        <v>18</v>
      </c>
      <c r="B126" t="s">
        <v>161</v>
      </c>
      <c r="E126" t="s">
        <v>161</v>
      </c>
      <c r="G126" t="str">
        <f t="shared" si="2"/>
        <v>Heuchera americana var. americana</v>
      </c>
      <c r="H126" t="str">
        <v>E1856</v>
      </c>
    </row>
    <row r="127" spans="1:8" x14ac:dyDescent="0.2">
      <c r="A127" t="s">
        <v>18</v>
      </c>
      <c r="B127" t="s">
        <v>163</v>
      </c>
      <c r="E127" t="s">
        <v>163</v>
      </c>
      <c r="G127" t="str">
        <f t="shared" si="2"/>
        <v>Heuchera americana var. americana</v>
      </c>
      <c r="H127" t="str">
        <v>E1857</v>
      </c>
    </row>
    <row r="128" spans="1:8" x14ac:dyDescent="0.2">
      <c r="A128" t="s">
        <v>18</v>
      </c>
      <c r="B128" t="s">
        <v>165</v>
      </c>
      <c r="E128" t="s">
        <v>165</v>
      </c>
      <c r="G128" t="str">
        <f t="shared" si="2"/>
        <v>Heuchera americana var. americana</v>
      </c>
      <c r="H128" t="str">
        <v>E1858</v>
      </c>
    </row>
    <row r="129" spans="1:8" x14ac:dyDescent="0.2">
      <c r="A129" t="s">
        <v>18</v>
      </c>
      <c r="B129" t="s">
        <v>167</v>
      </c>
      <c r="E129" t="s">
        <v>167</v>
      </c>
      <c r="G129" t="str">
        <f t="shared" si="2"/>
        <v>Heuchera americana var. americana</v>
      </c>
      <c r="H129" t="str">
        <v>E1859</v>
      </c>
    </row>
    <row r="130" spans="1:8" x14ac:dyDescent="0.2">
      <c r="A130" t="s">
        <v>18</v>
      </c>
      <c r="B130" t="s">
        <v>168</v>
      </c>
      <c r="E130" t="s">
        <v>168</v>
      </c>
      <c r="G130" t="str">
        <f t="shared" si="2"/>
        <v>Heuchera americana var. americana</v>
      </c>
      <c r="H130" t="str">
        <v>E1860</v>
      </c>
    </row>
    <row r="131" spans="1:8" x14ac:dyDescent="0.2">
      <c r="A131" t="s">
        <v>18</v>
      </c>
      <c r="B131" t="s">
        <v>170</v>
      </c>
      <c r="E131" t="s">
        <v>170</v>
      </c>
      <c r="G131" t="str">
        <f t="shared" ref="G131:G194" si="3">IF(H131&lt;&gt;"", INDEX(A:A, MATCH(H131, E:E, 0)), "NA")</f>
        <v>Heuchera americana var. americana</v>
      </c>
      <c r="H131" t="str">
        <v>E1862</v>
      </c>
    </row>
    <row r="132" spans="1:8" x14ac:dyDescent="0.2">
      <c r="A132" t="s">
        <v>18</v>
      </c>
      <c r="B132" t="s">
        <v>172</v>
      </c>
      <c r="E132" t="s">
        <v>172</v>
      </c>
      <c r="G132" t="str">
        <f t="shared" si="3"/>
        <v>Heuchera americana var. americana</v>
      </c>
      <c r="H132" t="str">
        <v>E1863</v>
      </c>
    </row>
    <row r="133" spans="1:8" x14ac:dyDescent="0.2">
      <c r="A133" t="s">
        <v>18</v>
      </c>
      <c r="B133" t="s">
        <v>174</v>
      </c>
      <c r="E133" t="s">
        <v>174</v>
      </c>
      <c r="G133" t="str">
        <f t="shared" si="3"/>
        <v>Heuchera americana var. americana</v>
      </c>
      <c r="H133" t="str">
        <v>E1864</v>
      </c>
    </row>
    <row r="134" spans="1:8" x14ac:dyDescent="0.2">
      <c r="A134" t="s">
        <v>18</v>
      </c>
      <c r="B134" t="s">
        <v>175</v>
      </c>
      <c r="E134" t="s">
        <v>175</v>
      </c>
      <c r="G134" t="str">
        <f t="shared" si="3"/>
        <v>Heuchera americana var. americana</v>
      </c>
      <c r="H134" t="str">
        <v>E1865</v>
      </c>
    </row>
    <row r="135" spans="1:8" x14ac:dyDescent="0.2">
      <c r="A135" t="s">
        <v>18</v>
      </c>
      <c r="B135" t="s">
        <v>177</v>
      </c>
      <c r="E135" t="s">
        <v>177</v>
      </c>
      <c r="G135" t="str">
        <f t="shared" si="3"/>
        <v>Heuchera americana var. americana</v>
      </c>
      <c r="H135" t="str">
        <v>E1866</v>
      </c>
    </row>
    <row r="136" spans="1:8" x14ac:dyDescent="0.2">
      <c r="A136" t="s">
        <v>18</v>
      </c>
      <c r="B136" t="s">
        <v>179</v>
      </c>
      <c r="E136" t="s">
        <v>179</v>
      </c>
      <c r="G136" t="str">
        <f t="shared" si="3"/>
        <v>Heuchera americana var. americana</v>
      </c>
      <c r="H136" t="str">
        <v>E1868</v>
      </c>
    </row>
    <row r="137" spans="1:8" x14ac:dyDescent="0.2">
      <c r="A137" t="s">
        <v>18</v>
      </c>
      <c r="B137" t="s">
        <v>181</v>
      </c>
      <c r="E137" t="s">
        <v>181</v>
      </c>
      <c r="G137" t="str">
        <f t="shared" si="3"/>
        <v>Heuchera americana var. americana</v>
      </c>
      <c r="H137" t="str">
        <v>E1869</v>
      </c>
    </row>
    <row r="138" spans="1:8" x14ac:dyDescent="0.2">
      <c r="A138" t="s">
        <v>18</v>
      </c>
      <c r="B138" t="s">
        <v>182</v>
      </c>
      <c r="E138" t="s">
        <v>182</v>
      </c>
      <c r="G138" t="str">
        <f t="shared" si="3"/>
        <v>Heuchera americana var. americana</v>
      </c>
      <c r="H138" t="str">
        <v>E1870</v>
      </c>
    </row>
    <row r="139" spans="1:8" x14ac:dyDescent="0.2">
      <c r="A139" t="s">
        <v>18</v>
      </c>
      <c r="B139" t="s">
        <v>184</v>
      </c>
      <c r="E139" t="s">
        <v>184</v>
      </c>
      <c r="G139" t="str">
        <f t="shared" si="3"/>
        <v>Heuchera americana var. americana</v>
      </c>
      <c r="H139" t="str">
        <v>E1871</v>
      </c>
    </row>
    <row r="140" spans="1:8" x14ac:dyDescent="0.2">
      <c r="A140" t="s">
        <v>18</v>
      </c>
      <c r="B140" t="s">
        <v>186</v>
      </c>
      <c r="E140" t="s">
        <v>186</v>
      </c>
      <c r="G140" t="str">
        <f t="shared" si="3"/>
        <v>Heuchera americana var. americana</v>
      </c>
      <c r="H140" t="str">
        <v>E1872</v>
      </c>
    </row>
    <row r="141" spans="1:8" x14ac:dyDescent="0.2">
      <c r="A141" t="s">
        <v>18</v>
      </c>
      <c r="B141" t="s">
        <v>188</v>
      </c>
      <c r="E141" t="s">
        <v>188</v>
      </c>
      <c r="G141" t="str">
        <f t="shared" si="3"/>
        <v>Heuchera americana var. americana</v>
      </c>
      <c r="H141" t="str">
        <v>E1873</v>
      </c>
    </row>
    <row r="142" spans="1:8" x14ac:dyDescent="0.2">
      <c r="A142" t="s">
        <v>18</v>
      </c>
      <c r="B142" t="s">
        <v>190</v>
      </c>
      <c r="E142" t="s">
        <v>190</v>
      </c>
      <c r="G142" t="str">
        <f t="shared" si="3"/>
        <v>Heuchera americana var. americana</v>
      </c>
      <c r="H142" t="str">
        <v>E1874</v>
      </c>
    </row>
    <row r="143" spans="1:8" x14ac:dyDescent="0.2">
      <c r="A143" t="s">
        <v>18</v>
      </c>
      <c r="B143" t="s">
        <v>191</v>
      </c>
      <c r="E143" t="s">
        <v>191</v>
      </c>
      <c r="G143" t="str">
        <f t="shared" si="3"/>
        <v>Heuchera americana var. americana</v>
      </c>
      <c r="H143" t="str">
        <v>E1875</v>
      </c>
    </row>
    <row r="144" spans="1:8" x14ac:dyDescent="0.2">
      <c r="A144" t="s">
        <v>18</v>
      </c>
      <c r="B144" t="s">
        <v>193</v>
      </c>
      <c r="E144" t="s">
        <v>193</v>
      </c>
      <c r="G144" t="str">
        <f t="shared" si="3"/>
        <v>Heuchera americana var. americana</v>
      </c>
      <c r="H144" t="str">
        <v>E1876</v>
      </c>
    </row>
    <row r="145" spans="1:8" x14ac:dyDescent="0.2">
      <c r="A145" t="s">
        <v>18</v>
      </c>
      <c r="B145" t="s">
        <v>195</v>
      </c>
      <c r="E145" t="s">
        <v>195</v>
      </c>
      <c r="G145" t="str">
        <f t="shared" si="3"/>
        <v>Heuchera americana var. americana</v>
      </c>
      <c r="H145" t="str">
        <v>E1877</v>
      </c>
    </row>
    <row r="146" spans="1:8" x14ac:dyDescent="0.2">
      <c r="A146" t="s">
        <v>18</v>
      </c>
      <c r="B146" t="s">
        <v>197</v>
      </c>
      <c r="E146" t="s">
        <v>197</v>
      </c>
      <c r="G146" t="str">
        <f t="shared" si="3"/>
        <v>Heuchera americana var. americana</v>
      </c>
      <c r="H146" t="str">
        <v>E1878</v>
      </c>
    </row>
    <row r="147" spans="1:8" x14ac:dyDescent="0.2">
      <c r="A147" t="s">
        <v>18</v>
      </c>
      <c r="B147" t="s">
        <v>198</v>
      </c>
      <c r="E147" t="s">
        <v>198</v>
      </c>
      <c r="G147" t="str">
        <f t="shared" si="3"/>
        <v>Heuchera americana var. americana</v>
      </c>
      <c r="H147" t="str">
        <v>E1879</v>
      </c>
    </row>
    <row r="148" spans="1:8" x14ac:dyDescent="0.2">
      <c r="A148" t="s">
        <v>18</v>
      </c>
      <c r="B148" t="s">
        <v>201</v>
      </c>
      <c r="E148" t="s">
        <v>201</v>
      </c>
      <c r="G148" t="str">
        <f t="shared" si="3"/>
        <v>Heuchera americana var. americana</v>
      </c>
      <c r="H148" t="str">
        <v>E1880</v>
      </c>
    </row>
    <row r="149" spans="1:8" x14ac:dyDescent="0.2">
      <c r="A149" t="s">
        <v>18</v>
      </c>
      <c r="B149" t="s">
        <v>203</v>
      </c>
      <c r="E149" t="s">
        <v>203</v>
      </c>
      <c r="G149" t="str">
        <f t="shared" si="3"/>
        <v>Heuchera americana var. americana</v>
      </c>
      <c r="H149" t="str">
        <v>E1881</v>
      </c>
    </row>
    <row r="150" spans="1:8" x14ac:dyDescent="0.2">
      <c r="A150" t="s">
        <v>18</v>
      </c>
      <c r="B150" t="s">
        <v>205</v>
      </c>
      <c r="E150" t="s">
        <v>205</v>
      </c>
      <c r="G150" t="str">
        <f t="shared" si="3"/>
        <v>Heuchera americana var. americana</v>
      </c>
      <c r="H150" t="str">
        <v>E1882</v>
      </c>
    </row>
    <row r="151" spans="1:8" x14ac:dyDescent="0.2">
      <c r="A151" t="s">
        <v>18</v>
      </c>
      <c r="B151" t="s">
        <v>206</v>
      </c>
      <c r="E151" t="s">
        <v>206</v>
      </c>
      <c r="G151" t="str">
        <f t="shared" si="3"/>
        <v>Heuchera americana var. americana</v>
      </c>
      <c r="H151" t="str">
        <v>E1883</v>
      </c>
    </row>
    <row r="152" spans="1:8" x14ac:dyDescent="0.2">
      <c r="A152" t="s">
        <v>18</v>
      </c>
      <c r="B152" t="s">
        <v>209</v>
      </c>
      <c r="E152" t="s">
        <v>209</v>
      </c>
      <c r="G152" t="str">
        <f t="shared" si="3"/>
        <v>Heuchera americana var. americana</v>
      </c>
      <c r="H152" t="str">
        <v>E1884</v>
      </c>
    </row>
    <row r="153" spans="1:8" x14ac:dyDescent="0.2">
      <c r="A153" t="s">
        <v>18</v>
      </c>
      <c r="B153" t="s">
        <v>211</v>
      </c>
      <c r="E153" t="s">
        <v>211</v>
      </c>
      <c r="G153" t="str">
        <f t="shared" si="3"/>
        <v>Heuchera americana var. americana</v>
      </c>
      <c r="H153" t="str">
        <v>E1885</v>
      </c>
    </row>
    <row r="154" spans="1:8" x14ac:dyDescent="0.2">
      <c r="A154" t="s">
        <v>18</v>
      </c>
      <c r="B154" t="s">
        <v>213</v>
      </c>
      <c r="E154" t="s">
        <v>213</v>
      </c>
      <c r="G154" t="str">
        <f t="shared" si="3"/>
        <v>Heuchera americana var. americana</v>
      </c>
      <c r="H154" t="str">
        <v>E1886</v>
      </c>
    </row>
    <row r="155" spans="1:8" x14ac:dyDescent="0.2">
      <c r="A155" t="s">
        <v>18</v>
      </c>
      <c r="B155" t="s">
        <v>215</v>
      </c>
      <c r="E155" t="s">
        <v>215</v>
      </c>
      <c r="G155" t="str">
        <f t="shared" si="3"/>
        <v>Heuchera americana var. americana</v>
      </c>
      <c r="H155" t="str">
        <v>E1887</v>
      </c>
    </row>
    <row r="156" spans="1:8" x14ac:dyDescent="0.2">
      <c r="A156" t="s">
        <v>18</v>
      </c>
      <c r="B156" t="s">
        <v>217</v>
      </c>
      <c r="E156" t="s">
        <v>217</v>
      </c>
      <c r="G156" t="str">
        <f t="shared" si="3"/>
        <v>Heuchera americana var. americana</v>
      </c>
      <c r="H156" t="str">
        <v>E1888</v>
      </c>
    </row>
    <row r="157" spans="1:8" x14ac:dyDescent="0.2">
      <c r="A157" t="s">
        <v>18</v>
      </c>
      <c r="B157" t="s">
        <v>218</v>
      </c>
      <c r="E157" t="s">
        <v>218</v>
      </c>
      <c r="G157" t="str">
        <f t="shared" si="3"/>
        <v>Heuchera americana var. americana</v>
      </c>
      <c r="H157" t="str">
        <v>E1889</v>
      </c>
    </row>
    <row r="158" spans="1:8" x14ac:dyDescent="0.2">
      <c r="A158" t="s">
        <v>18</v>
      </c>
      <c r="B158" t="s">
        <v>220</v>
      </c>
      <c r="E158" t="s">
        <v>220</v>
      </c>
      <c r="G158" t="str">
        <f t="shared" si="3"/>
        <v>Heuchera americana var. americana</v>
      </c>
      <c r="H158" t="str">
        <v>E1890</v>
      </c>
    </row>
    <row r="159" spans="1:8" x14ac:dyDescent="0.2">
      <c r="A159" t="s">
        <v>18</v>
      </c>
      <c r="B159" t="s">
        <v>221</v>
      </c>
      <c r="E159" t="s">
        <v>221</v>
      </c>
      <c r="G159" t="str">
        <f t="shared" si="3"/>
        <v>Heuchera americana var. americana</v>
      </c>
      <c r="H159" t="str">
        <v>E1891</v>
      </c>
    </row>
    <row r="160" spans="1:8" x14ac:dyDescent="0.2">
      <c r="A160" t="s">
        <v>18</v>
      </c>
      <c r="B160" t="s">
        <v>222</v>
      </c>
      <c r="E160" t="s">
        <v>222</v>
      </c>
      <c r="G160" t="str">
        <f t="shared" si="3"/>
        <v>Heuchera americana var. americana</v>
      </c>
      <c r="H160" t="str">
        <v>E1892</v>
      </c>
    </row>
    <row r="161" spans="1:8" x14ac:dyDescent="0.2">
      <c r="A161" t="s">
        <v>18</v>
      </c>
      <c r="B161" t="s">
        <v>224</v>
      </c>
      <c r="E161" t="s">
        <v>224</v>
      </c>
      <c r="G161" t="str">
        <f t="shared" si="3"/>
        <v>Heuchera americana var. americana</v>
      </c>
      <c r="H161" t="str">
        <v>E1893</v>
      </c>
    </row>
    <row r="162" spans="1:8" x14ac:dyDescent="0.2">
      <c r="A162" t="s">
        <v>18</v>
      </c>
      <c r="B162" t="s">
        <v>226</v>
      </c>
      <c r="E162" t="s">
        <v>226</v>
      </c>
      <c r="G162" t="str">
        <f t="shared" si="3"/>
        <v>Heuchera americana var. americana</v>
      </c>
      <c r="H162" t="str">
        <v>E1894</v>
      </c>
    </row>
    <row r="163" spans="1:8" x14ac:dyDescent="0.2">
      <c r="A163" t="s">
        <v>18</v>
      </c>
      <c r="B163" t="s">
        <v>230</v>
      </c>
      <c r="E163" t="s">
        <v>230</v>
      </c>
      <c r="G163" t="str">
        <f t="shared" si="3"/>
        <v>Heuchera americana var. americana</v>
      </c>
      <c r="H163" t="str">
        <v>E1895</v>
      </c>
    </row>
    <row r="164" spans="1:8" x14ac:dyDescent="0.2">
      <c r="A164" t="s">
        <v>18</v>
      </c>
      <c r="B164" t="s">
        <v>232</v>
      </c>
      <c r="E164" t="s">
        <v>232</v>
      </c>
      <c r="G164" t="str">
        <f t="shared" si="3"/>
        <v>Heuchera americana var. americana</v>
      </c>
      <c r="H164" t="str">
        <v>E1896</v>
      </c>
    </row>
    <row r="165" spans="1:8" x14ac:dyDescent="0.2">
      <c r="A165" t="s">
        <v>18</v>
      </c>
      <c r="B165" t="s">
        <v>235</v>
      </c>
      <c r="E165" t="s">
        <v>235</v>
      </c>
      <c r="G165" t="str">
        <f t="shared" si="3"/>
        <v>Heuchera americana var. americana</v>
      </c>
      <c r="H165" t="str">
        <v>E1898</v>
      </c>
    </row>
    <row r="166" spans="1:8" x14ac:dyDescent="0.2">
      <c r="A166" t="s">
        <v>18</v>
      </c>
      <c r="B166" t="s">
        <v>237</v>
      </c>
      <c r="E166" t="s">
        <v>237</v>
      </c>
      <c r="G166" t="str">
        <f t="shared" si="3"/>
        <v>Heuchera americana var. americana</v>
      </c>
      <c r="H166" t="str">
        <v>E1899</v>
      </c>
    </row>
    <row r="167" spans="1:8" x14ac:dyDescent="0.2">
      <c r="A167" t="s">
        <v>18</v>
      </c>
      <c r="B167" t="s">
        <v>239</v>
      </c>
      <c r="E167" t="s">
        <v>239</v>
      </c>
      <c r="G167" t="str">
        <f t="shared" si="3"/>
        <v>Heuchera americana var. americana</v>
      </c>
      <c r="H167" t="str">
        <v>E19</v>
      </c>
    </row>
    <row r="168" spans="1:8" x14ac:dyDescent="0.2">
      <c r="A168" t="s">
        <v>18</v>
      </c>
      <c r="B168" t="s">
        <v>241</v>
      </c>
      <c r="E168" t="s">
        <v>241</v>
      </c>
      <c r="G168" t="str">
        <f t="shared" si="3"/>
        <v>Heuchera americana var. americana</v>
      </c>
      <c r="H168" t="str">
        <v>E1900</v>
      </c>
    </row>
    <row r="169" spans="1:8" x14ac:dyDescent="0.2">
      <c r="A169" t="s">
        <v>18</v>
      </c>
      <c r="B169" t="s">
        <v>242</v>
      </c>
      <c r="E169" t="s">
        <v>242</v>
      </c>
      <c r="G169" t="str">
        <f t="shared" si="3"/>
        <v>Heuchera americana var. americana</v>
      </c>
      <c r="H169" t="str">
        <v>E1901</v>
      </c>
    </row>
    <row r="170" spans="1:8" x14ac:dyDescent="0.2">
      <c r="A170" t="s">
        <v>18</v>
      </c>
      <c r="B170" t="s">
        <v>244</v>
      </c>
      <c r="E170" t="s">
        <v>244</v>
      </c>
      <c r="G170" t="str">
        <f t="shared" si="3"/>
        <v>Heuchera americana var. americana</v>
      </c>
      <c r="H170" t="str">
        <v>E1902</v>
      </c>
    </row>
    <row r="171" spans="1:8" x14ac:dyDescent="0.2">
      <c r="A171" t="s">
        <v>18</v>
      </c>
      <c r="B171" t="s">
        <v>245</v>
      </c>
      <c r="E171" t="s">
        <v>245</v>
      </c>
      <c r="G171" t="str">
        <f t="shared" si="3"/>
        <v>Heuchera americana var. americana</v>
      </c>
      <c r="H171" t="str">
        <v>E1903</v>
      </c>
    </row>
    <row r="172" spans="1:8" x14ac:dyDescent="0.2">
      <c r="A172" t="s">
        <v>18</v>
      </c>
      <c r="B172" t="s">
        <v>248</v>
      </c>
      <c r="E172" t="s">
        <v>248</v>
      </c>
      <c r="G172" t="str">
        <f t="shared" si="3"/>
        <v>Heuchera americana var. americana</v>
      </c>
      <c r="H172" t="str">
        <v>E1904</v>
      </c>
    </row>
    <row r="173" spans="1:8" x14ac:dyDescent="0.2">
      <c r="A173" t="s">
        <v>18</v>
      </c>
      <c r="B173" t="s">
        <v>250</v>
      </c>
      <c r="E173" t="s">
        <v>250</v>
      </c>
      <c r="G173" t="str">
        <f t="shared" si="3"/>
        <v>Heuchera americana var. americana</v>
      </c>
      <c r="H173" t="str">
        <v>E1916</v>
      </c>
    </row>
    <row r="174" spans="1:8" x14ac:dyDescent="0.2">
      <c r="A174" t="s">
        <v>18</v>
      </c>
      <c r="B174" t="s">
        <v>251</v>
      </c>
      <c r="E174" t="s">
        <v>251</v>
      </c>
      <c r="G174" t="str">
        <f t="shared" si="3"/>
        <v>Heuchera americana var. americana</v>
      </c>
      <c r="H174" t="str">
        <v>E2</v>
      </c>
    </row>
    <row r="175" spans="1:8" x14ac:dyDescent="0.2">
      <c r="A175" t="s">
        <v>18</v>
      </c>
      <c r="B175" t="s">
        <v>252</v>
      </c>
      <c r="E175" t="s">
        <v>252</v>
      </c>
      <c r="G175" t="str">
        <f t="shared" si="3"/>
        <v>Heuchera americana var. americana</v>
      </c>
      <c r="H175" t="str">
        <v>E3</v>
      </c>
    </row>
    <row r="176" spans="1:8" x14ac:dyDescent="0.2">
      <c r="A176" t="s">
        <v>18</v>
      </c>
      <c r="B176" t="s">
        <v>254</v>
      </c>
      <c r="E176" t="s">
        <v>254</v>
      </c>
      <c r="G176" t="str">
        <f t="shared" si="3"/>
        <v>Heuchera americana var. americana</v>
      </c>
      <c r="H176" t="str">
        <v>E36</v>
      </c>
    </row>
    <row r="177" spans="1:8" x14ac:dyDescent="0.2">
      <c r="A177" t="s">
        <v>18</v>
      </c>
      <c r="B177" t="s">
        <v>256</v>
      </c>
      <c r="E177" t="s">
        <v>256</v>
      </c>
      <c r="G177" t="str">
        <f t="shared" si="3"/>
        <v>Heuchera americana var. americana</v>
      </c>
      <c r="H177" t="str">
        <v>E4</v>
      </c>
    </row>
    <row r="178" spans="1:8" x14ac:dyDescent="0.2">
      <c r="A178" t="s">
        <v>18</v>
      </c>
      <c r="B178" t="s">
        <v>258</v>
      </c>
      <c r="E178" t="s">
        <v>258</v>
      </c>
      <c r="G178" t="str">
        <f t="shared" si="3"/>
        <v>Heuchera americana var. americana</v>
      </c>
      <c r="H178" t="str">
        <v>E438</v>
      </c>
    </row>
    <row r="179" spans="1:8" x14ac:dyDescent="0.2">
      <c r="A179" t="s">
        <v>18</v>
      </c>
      <c r="B179" t="s">
        <v>261</v>
      </c>
      <c r="E179" t="s">
        <v>261</v>
      </c>
      <c r="G179" t="str">
        <f t="shared" si="3"/>
        <v>Heuchera americana var. americana</v>
      </c>
      <c r="H179" t="str">
        <v>E439</v>
      </c>
    </row>
    <row r="180" spans="1:8" x14ac:dyDescent="0.2">
      <c r="A180" t="s">
        <v>18</v>
      </c>
      <c r="B180" t="s">
        <v>263</v>
      </c>
      <c r="E180" t="s">
        <v>263</v>
      </c>
      <c r="G180" t="str">
        <f t="shared" si="3"/>
        <v>Heuchera americana var. americana</v>
      </c>
      <c r="H180" t="str">
        <v>E440</v>
      </c>
    </row>
    <row r="181" spans="1:8" x14ac:dyDescent="0.2">
      <c r="A181" t="s">
        <v>18</v>
      </c>
      <c r="B181" t="s">
        <v>264</v>
      </c>
      <c r="E181" t="s">
        <v>264</v>
      </c>
      <c r="G181" t="str">
        <f t="shared" si="3"/>
        <v>Heuchera americana var. americana</v>
      </c>
      <c r="H181" t="str">
        <v>E5</v>
      </c>
    </row>
    <row r="182" spans="1:8" x14ac:dyDescent="0.2">
      <c r="A182" t="s">
        <v>18</v>
      </c>
      <c r="B182" t="s">
        <v>266</v>
      </c>
      <c r="E182" t="s">
        <v>266</v>
      </c>
      <c r="G182" t="str">
        <f t="shared" si="3"/>
        <v>Heuchera americana var. americana</v>
      </c>
      <c r="H182" t="str">
        <v>E505</v>
      </c>
    </row>
    <row r="183" spans="1:8" x14ac:dyDescent="0.2">
      <c r="A183" t="s">
        <v>18</v>
      </c>
      <c r="B183" t="s">
        <v>268</v>
      </c>
      <c r="E183" t="s">
        <v>268</v>
      </c>
      <c r="G183" t="str">
        <f t="shared" si="3"/>
        <v>Heuchera americana var. americana</v>
      </c>
      <c r="H183" t="str">
        <v>E506</v>
      </c>
    </row>
    <row r="184" spans="1:8" x14ac:dyDescent="0.2">
      <c r="A184" t="s">
        <v>18</v>
      </c>
      <c r="B184" t="s">
        <v>271</v>
      </c>
      <c r="E184" t="s">
        <v>271</v>
      </c>
      <c r="G184" t="str">
        <f t="shared" si="3"/>
        <v>Heuchera americana var. americana</v>
      </c>
      <c r="H184" t="str">
        <v>E507</v>
      </c>
    </row>
    <row r="185" spans="1:8" x14ac:dyDescent="0.2">
      <c r="A185" t="s">
        <v>18</v>
      </c>
      <c r="B185" t="s">
        <v>274</v>
      </c>
      <c r="E185" t="s">
        <v>274</v>
      </c>
      <c r="G185" t="str">
        <f t="shared" si="3"/>
        <v>Heuchera americana var. americana</v>
      </c>
      <c r="H185" t="str">
        <v>E510</v>
      </c>
    </row>
    <row r="186" spans="1:8" x14ac:dyDescent="0.2">
      <c r="A186" t="s">
        <v>18</v>
      </c>
      <c r="B186" t="s">
        <v>276</v>
      </c>
      <c r="E186" t="s">
        <v>276</v>
      </c>
      <c r="G186" t="str">
        <f t="shared" si="3"/>
        <v>Heuchera americana var. americana</v>
      </c>
      <c r="H186" t="str">
        <v>E511</v>
      </c>
    </row>
    <row r="187" spans="1:8" x14ac:dyDescent="0.2">
      <c r="A187" t="s">
        <v>18</v>
      </c>
      <c r="B187" t="s">
        <v>278</v>
      </c>
      <c r="E187" t="s">
        <v>278</v>
      </c>
      <c r="G187" t="str">
        <f t="shared" si="3"/>
        <v>Heuchera americana var. americana</v>
      </c>
      <c r="H187" t="str">
        <v>E516</v>
      </c>
    </row>
    <row r="188" spans="1:8" x14ac:dyDescent="0.2">
      <c r="A188" t="s">
        <v>18</v>
      </c>
      <c r="B188" t="s">
        <v>280</v>
      </c>
      <c r="E188" t="s">
        <v>280</v>
      </c>
      <c r="G188" t="str">
        <f t="shared" si="3"/>
        <v>Heuchera americana var. americana</v>
      </c>
      <c r="H188" t="str">
        <v>E517</v>
      </c>
    </row>
    <row r="189" spans="1:8" x14ac:dyDescent="0.2">
      <c r="A189" t="s">
        <v>18</v>
      </c>
      <c r="B189" t="s">
        <v>283</v>
      </c>
      <c r="E189" t="s">
        <v>283</v>
      </c>
      <c r="G189" t="str">
        <f t="shared" si="3"/>
        <v>Heuchera americana var. americana</v>
      </c>
      <c r="H189" t="str">
        <v>E519</v>
      </c>
    </row>
    <row r="190" spans="1:8" x14ac:dyDescent="0.2">
      <c r="A190" t="s">
        <v>18</v>
      </c>
      <c r="B190" t="s">
        <v>285</v>
      </c>
      <c r="E190" t="s">
        <v>285</v>
      </c>
      <c r="G190" t="str">
        <f t="shared" si="3"/>
        <v>Heuchera americana var. americana</v>
      </c>
      <c r="H190" t="str">
        <v>E523</v>
      </c>
    </row>
    <row r="191" spans="1:8" x14ac:dyDescent="0.2">
      <c r="A191" t="s">
        <v>18</v>
      </c>
      <c r="B191" t="s">
        <v>287</v>
      </c>
      <c r="E191" t="s">
        <v>287</v>
      </c>
      <c r="G191" t="str">
        <f t="shared" si="3"/>
        <v>Heuchera americana var. americana</v>
      </c>
      <c r="H191" t="str">
        <v>E524</v>
      </c>
    </row>
    <row r="192" spans="1:8" x14ac:dyDescent="0.2">
      <c r="A192" t="s">
        <v>18</v>
      </c>
      <c r="B192" t="s">
        <v>289</v>
      </c>
      <c r="E192" t="s">
        <v>289</v>
      </c>
      <c r="G192" t="str">
        <f t="shared" si="3"/>
        <v>Heuchera americana var. americana</v>
      </c>
      <c r="H192" t="str">
        <v>E6</v>
      </c>
    </row>
    <row r="193" spans="1:8" x14ac:dyDescent="0.2">
      <c r="A193" t="s">
        <v>18</v>
      </c>
      <c r="B193" t="s">
        <v>291</v>
      </c>
      <c r="E193" t="s">
        <v>291</v>
      </c>
      <c r="G193" t="str">
        <f t="shared" si="3"/>
        <v>Heuchera americana var. americana</v>
      </c>
      <c r="H193" t="str">
        <v>E7</v>
      </c>
    </row>
    <row r="194" spans="1:8" x14ac:dyDescent="0.2">
      <c r="A194" t="s">
        <v>18</v>
      </c>
      <c r="B194" t="s">
        <v>293</v>
      </c>
      <c r="E194" t="s">
        <v>293</v>
      </c>
      <c r="G194" t="str">
        <f t="shared" si="3"/>
        <v>Heuchera americana var. americana</v>
      </c>
      <c r="H194" t="str">
        <v>E8</v>
      </c>
    </row>
    <row r="195" spans="1:8" x14ac:dyDescent="0.2">
      <c r="A195" t="s">
        <v>18</v>
      </c>
      <c r="B195" t="s">
        <v>294</v>
      </c>
      <c r="E195" t="s">
        <v>294</v>
      </c>
      <c r="G195" t="str">
        <f t="shared" ref="G195:G258" si="4">IF(H195&lt;&gt;"", INDEX(A:A, MATCH(H195, E:E, 0)), "NA")</f>
        <v>Heuchera americana var. americana</v>
      </c>
      <c r="H195" t="str">
        <v>E9</v>
      </c>
    </row>
    <row r="196" spans="1:8" x14ac:dyDescent="0.2">
      <c r="A196" t="s">
        <v>18</v>
      </c>
      <c r="B196" t="s">
        <v>296</v>
      </c>
      <c r="E196" t="s">
        <v>296</v>
      </c>
      <c r="G196" t="str">
        <f t="shared" si="4"/>
        <v>Heuchera americana var. americana</v>
      </c>
      <c r="H196" t="str">
        <v>H214</v>
      </c>
    </row>
    <row r="197" spans="1:8" x14ac:dyDescent="0.2">
      <c r="A197" t="s">
        <v>18</v>
      </c>
      <c r="B197" t="s">
        <v>298</v>
      </c>
      <c r="E197" t="s">
        <v>298</v>
      </c>
      <c r="G197" t="str">
        <f t="shared" si="4"/>
        <v>Heuchera americana var. americana</v>
      </c>
      <c r="H197" t="str">
        <v>H246</v>
      </c>
    </row>
    <row r="198" spans="1:8" x14ac:dyDescent="0.2">
      <c r="A198" t="s">
        <v>18</v>
      </c>
      <c r="B198" t="s">
        <v>300</v>
      </c>
      <c r="E198" t="s">
        <v>300</v>
      </c>
      <c r="G198" t="str">
        <f t="shared" si="4"/>
        <v>Heuchera americana var. americana</v>
      </c>
      <c r="H198" t="str">
        <v>H70</v>
      </c>
    </row>
    <row r="199" spans="1:8" x14ac:dyDescent="0.2">
      <c r="A199" t="s">
        <v>18</v>
      </c>
      <c r="B199" t="s">
        <v>302</v>
      </c>
      <c r="E199" t="s">
        <v>302</v>
      </c>
      <c r="G199" t="str">
        <f t="shared" si="4"/>
        <v>Heuchera americana var. americana</v>
      </c>
      <c r="H199" t="str">
        <v>H71</v>
      </c>
    </row>
    <row r="200" spans="1:8" x14ac:dyDescent="0.2">
      <c r="A200" t="s">
        <v>18</v>
      </c>
      <c r="B200" t="s">
        <v>303</v>
      </c>
      <c r="E200" t="s">
        <v>303</v>
      </c>
      <c r="G200" t="str">
        <f t="shared" si="4"/>
        <v>Heuchera americana var. americana</v>
      </c>
      <c r="H200" t="str">
        <v>H83</v>
      </c>
    </row>
    <row r="201" spans="1:8" x14ac:dyDescent="0.2">
      <c r="A201" t="s">
        <v>18</v>
      </c>
      <c r="B201" t="s">
        <v>305</v>
      </c>
      <c r="E201" t="s">
        <v>305</v>
      </c>
      <c r="G201" t="str">
        <f t="shared" si="4"/>
        <v>Heuchera americana var. americana</v>
      </c>
      <c r="H201" t="str">
        <v>H86</v>
      </c>
    </row>
    <row r="202" spans="1:8" x14ac:dyDescent="0.2">
      <c r="A202" t="s">
        <v>18</v>
      </c>
      <c r="B202" t="s">
        <v>307</v>
      </c>
      <c r="E202" t="s">
        <v>307</v>
      </c>
      <c r="G202" t="str">
        <f t="shared" si="4"/>
        <v>Heuchera americana var. americana</v>
      </c>
      <c r="H202" t="str">
        <v>H92</v>
      </c>
    </row>
    <row r="203" spans="1:8" x14ac:dyDescent="0.2">
      <c r="A203" t="s">
        <v>18</v>
      </c>
      <c r="B203" t="s">
        <v>309</v>
      </c>
      <c r="E203" t="s">
        <v>309</v>
      </c>
      <c r="G203" t="str">
        <f t="shared" si="4"/>
        <v>Heuchera americana var. americana</v>
      </c>
      <c r="H203" t="str">
        <v>H95</v>
      </c>
    </row>
    <row r="204" spans="1:8" x14ac:dyDescent="0.2">
      <c r="A204" t="s">
        <v>18</v>
      </c>
      <c r="B204" t="s">
        <v>310</v>
      </c>
      <c r="E204" t="s">
        <v>310</v>
      </c>
      <c r="G204" t="str">
        <f t="shared" si="4"/>
        <v>Heuchera americana var. americana</v>
      </c>
      <c r="H204" t="str">
        <v>I20</v>
      </c>
    </row>
    <row r="205" spans="1:8" x14ac:dyDescent="0.2">
      <c r="A205" t="s">
        <v>18</v>
      </c>
      <c r="B205" t="s">
        <v>312</v>
      </c>
      <c r="E205" t="s">
        <v>312</v>
      </c>
      <c r="G205" t="str">
        <f t="shared" si="4"/>
        <v>Heuchera americana var. americana</v>
      </c>
      <c r="H205" t="str">
        <v>E1464</v>
      </c>
    </row>
    <row r="206" spans="1:8" x14ac:dyDescent="0.2">
      <c r="A206" t="s">
        <v>18</v>
      </c>
      <c r="B206" t="s">
        <v>314</v>
      </c>
      <c r="E206" t="s">
        <v>314</v>
      </c>
      <c r="G206" t="str">
        <f t="shared" si="4"/>
        <v>Heuchera americana var. americana</v>
      </c>
      <c r="H206" t="str">
        <v>E1465</v>
      </c>
    </row>
    <row r="207" spans="1:8" x14ac:dyDescent="0.2">
      <c r="A207" t="s">
        <v>18</v>
      </c>
      <c r="B207" t="s">
        <v>316</v>
      </c>
      <c r="E207" t="s">
        <v>316</v>
      </c>
      <c r="G207" t="str">
        <f t="shared" si="4"/>
        <v>Heuchera americana var. americana</v>
      </c>
      <c r="H207" t="str">
        <v>E1468</v>
      </c>
    </row>
    <row r="208" spans="1:8" x14ac:dyDescent="0.2">
      <c r="A208" t="s">
        <v>18</v>
      </c>
      <c r="B208" t="s">
        <v>317</v>
      </c>
      <c r="E208" t="s">
        <v>317</v>
      </c>
      <c r="G208" t="str">
        <f t="shared" si="4"/>
        <v>Heuchera americana var. americana</v>
      </c>
      <c r="H208" t="str">
        <v>E1469</v>
      </c>
    </row>
    <row r="209" spans="1:8" x14ac:dyDescent="0.2">
      <c r="A209" t="s">
        <v>18</v>
      </c>
      <c r="B209" t="s">
        <v>318</v>
      </c>
      <c r="E209" t="s">
        <v>318</v>
      </c>
      <c r="G209" t="str">
        <f t="shared" si="4"/>
        <v>Heuchera americana var. americana</v>
      </c>
      <c r="H209" t="str">
        <v>E1470</v>
      </c>
    </row>
    <row r="210" spans="1:8" x14ac:dyDescent="0.2">
      <c r="A210" t="s">
        <v>18</v>
      </c>
      <c r="B210" t="s">
        <v>319</v>
      </c>
      <c r="E210" t="s">
        <v>319</v>
      </c>
      <c r="G210" t="str">
        <f t="shared" si="4"/>
        <v>Heuchera americana var. americana</v>
      </c>
      <c r="H210" t="str">
        <v>E1471</v>
      </c>
    </row>
    <row r="211" spans="1:8" x14ac:dyDescent="0.2">
      <c r="A211" t="s">
        <v>18</v>
      </c>
      <c r="B211" t="s">
        <v>321</v>
      </c>
      <c r="E211" t="s">
        <v>321</v>
      </c>
      <c r="G211" t="str">
        <f t="shared" si="4"/>
        <v>Heuchera americana var. americana</v>
      </c>
      <c r="H211" t="str">
        <v>E1473</v>
      </c>
    </row>
    <row r="212" spans="1:8" x14ac:dyDescent="0.2">
      <c r="A212" t="s">
        <v>18</v>
      </c>
      <c r="B212" t="s">
        <v>322</v>
      </c>
      <c r="E212" t="s">
        <v>322</v>
      </c>
      <c r="G212" t="str">
        <f t="shared" si="4"/>
        <v>Heuchera americana var. americana</v>
      </c>
      <c r="H212" t="str">
        <v>E1474</v>
      </c>
    </row>
    <row r="213" spans="1:8" x14ac:dyDescent="0.2">
      <c r="A213" t="s">
        <v>18</v>
      </c>
      <c r="B213" t="s">
        <v>324</v>
      </c>
      <c r="E213" t="s">
        <v>324</v>
      </c>
      <c r="G213" t="str">
        <f t="shared" si="4"/>
        <v>Heuchera americana var. americana</v>
      </c>
      <c r="H213" t="str">
        <v>E1475</v>
      </c>
    </row>
    <row r="214" spans="1:8" x14ac:dyDescent="0.2">
      <c r="A214" t="s">
        <v>18</v>
      </c>
      <c r="B214" t="s">
        <v>325</v>
      </c>
      <c r="E214" t="s">
        <v>325</v>
      </c>
      <c r="G214" t="str">
        <f t="shared" si="4"/>
        <v>Heuchera americana var. americana</v>
      </c>
      <c r="H214" t="str">
        <v>E1479</v>
      </c>
    </row>
    <row r="215" spans="1:8" x14ac:dyDescent="0.2">
      <c r="A215" t="s">
        <v>18</v>
      </c>
      <c r="B215" t="s">
        <v>327</v>
      </c>
      <c r="E215" t="s">
        <v>327</v>
      </c>
      <c r="G215" t="str">
        <f t="shared" si="4"/>
        <v>Heuchera americana var. americana</v>
      </c>
      <c r="H215" t="str">
        <v>E1482</v>
      </c>
    </row>
    <row r="216" spans="1:8" x14ac:dyDescent="0.2">
      <c r="A216" t="s">
        <v>18</v>
      </c>
      <c r="B216" t="s">
        <v>329</v>
      </c>
      <c r="E216" t="s">
        <v>329</v>
      </c>
      <c r="G216" t="str">
        <f t="shared" si="4"/>
        <v>Heuchera americana var. americana</v>
      </c>
      <c r="H216" t="str">
        <v>E1517</v>
      </c>
    </row>
    <row r="217" spans="1:8" x14ac:dyDescent="0.2">
      <c r="A217" t="s">
        <v>18</v>
      </c>
      <c r="B217" t="s">
        <v>330</v>
      </c>
      <c r="E217" t="s">
        <v>330</v>
      </c>
      <c r="G217" t="str">
        <f t="shared" si="4"/>
        <v>Heuchera americana var. americana</v>
      </c>
      <c r="H217" t="str">
        <v>E1518</v>
      </c>
    </row>
    <row r="218" spans="1:8" x14ac:dyDescent="0.2">
      <c r="A218" t="s">
        <v>18</v>
      </c>
      <c r="B218" t="s">
        <v>332</v>
      </c>
      <c r="E218" t="s">
        <v>332</v>
      </c>
      <c r="G218" t="str">
        <f t="shared" si="4"/>
        <v>Heuchera americana var. americana</v>
      </c>
      <c r="H218" t="str">
        <v>E1519</v>
      </c>
    </row>
    <row r="219" spans="1:8" x14ac:dyDescent="0.2">
      <c r="A219" t="s">
        <v>18</v>
      </c>
      <c r="B219" t="s">
        <v>333</v>
      </c>
      <c r="E219" t="s">
        <v>333</v>
      </c>
      <c r="G219" t="str">
        <f t="shared" si="4"/>
        <v>Heuchera americana var. americana</v>
      </c>
      <c r="H219" t="str">
        <v>E1520</v>
      </c>
    </row>
    <row r="220" spans="1:8" x14ac:dyDescent="0.2">
      <c r="A220" t="s">
        <v>18</v>
      </c>
      <c r="B220" t="s">
        <v>335</v>
      </c>
      <c r="E220" t="s">
        <v>335</v>
      </c>
      <c r="G220" t="str">
        <f t="shared" si="4"/>
        <v>Heuchera americana var. americana</v>
      </c>
      <c r="H220" t="str">
        <v>E1521</v>
      </c>
    </row>
    <row r="221" spans="1:8" x14ac:dyDescent="0.2">
      <c r="A221" t="s">
        <v>18</v>
      </c>
      <c r="B221" t="s">
        <v>337</v>
      </c>
      <c r="E221" t="s">
        <v>337</v>
      </c>
      <c r="G221" t="str">
        <f t="shared" si="4"/>
        <v>Heuchera americana var. americana</v>
      </c>
      <c r="H221" t="str">
        <v>E1523</v>
      </c>
    </row>
    <row r="222" spans="1:8" x14ac:dyDescent="0.2">
      <c r="A222" t="s">
        <v>18</v>
      </c>
      <c r="B222" t="s">
        <v>339</v>
      </c>
      <c r="E222" t="s">
        <v>339</v>
      </c>
      <c r="G222" t="str">
        <f t="shared" si="4"/>
        <v>Heuchera americana var. americana</v>
      </c>
      <c r="H222" t="str">
        <v>E1679</v>
      </c>
    </row>
    <row r="223" spans="1:8" x14ac:dyDescent="0.2">
      <c r="A223" t="s">
        <v>18</v>
      </c>
      <c r="B223" t="s">
        <v>341</v>
      </c>
      <c r="E223" t="s">
        <v>341</v>
      </c>
      <c r="G223" t="str">
        <f t="shared" si="4"/>
        <v>Heuchera americana var. americana</v>
      </c>
      <c r="H223" t="str">
        <v>E443</v>
      </c>
    </row>
    <row r="224" spans="1:8" x14ac:dyDescent="0.2">
      <c r="A224" t="s">
        <v>18</v>
      </c>
      <c r="B224" t="s">
        <v>343</v>
      </c>
      <c r="E224" t="s">
        <v>343</v>
      </c>
      <c r="G224" t="str">
        <f t="shared" si="4"/>
        <v>Heuchera americana var. americana</v>
      </c>
      <c r="H224" t="str">
        <v>E490</v>
      </c>
    </row>
    <row r="225" spans="1:8" x14ac:dyDescent="0.2">
      <c r="A225" t="s">
        <v>18</v>
      </c>
      <c r="B225" t="s">
        <v>344</v>
      </c>
      <c r="E225" t="s">
        <v>344</v>
      </c>
      <c r="G225" t="str">
        <f t="shared" si="4"/>
        <v>Heuchera americana var. americana</v>
      </c>
      <c r="H225" t="str">
        <v>E491</v>
      </c>
    </row>
    <row r="226" spans="1:8" x14ac:dyDescent="0.2">
      <c r="A226" t="s">
        <v>18</v>
      </c>
      <c r="B226" t="s">
        <v>345</v>
      </c>
      <c r="E226" t="s">
        <v>345</v>
      </c>
      <c r="G226" t="str">
        <f t="shared" si="4"/>
        <v>Heuchera americana var. americana</v>
      </c>
      <c r="H226" t="str">
        <v>E492</v>
      </c>
    </row>
    <row r="227" spans="1:8" x14ac:dyDescent="0.2">
      <c r="A227" t="s">
        <v>18</v>
      </c>
      <c r="B227" t="s">
        <v>346</v>
      </c>
      <c r="E227" t="s">
        <v>346</v>
      </c>
      <c r="G227" t="str">
        <f t="shared" si="4"/>
        <v>Heuchera americana var. americana</v>
      </c>
      <c r="H227" t="str">
        <v>E493</v>
      </c>
    </row>
    <row r="228" spans="1:8" x14ac:dyDescent="0.2">
      <c r="A228" t="s">
        <v>18</v>
      </c>
      <c r="B228" t="s">
        <v>347</v>
      </c>
      <c r="E228" t="s">
        <v>347</v>
      </c>
      <c r="G228" t="str">
        <f t="shared" si="4"/>
        <v>Heuchera americana var. americana</v>
      </c>
      <c r="H228" t="str">
        <v>E509</v>
      </c>
    </row>
    <row r="229" spans="1:8" x14ac:dyDescent="0.2">
      <c r="A229" t="s">
        <v>18</v>
      </c>
      <c r="B229" t="s">
        <v>348</v>
      </c>
      <c r="E229" t="s">
        <v>348</v>
      </c>
      <c r="G229" t="str">
        <f t="shared" si="4"/>
        <v>Heuchera americana var. americana</v>
      </c>
      <c r="H229" t="str">
        <v>E520</v>
      </c>
    </row>
    <row r="230" spans="1:8" x14ac:dyDescent="0.2">
      <c r="A230" t="s">
        <v>18</v>
      </c>
      <c r="B230" t="s">
        <v>349</v>
      </c>
      <c r="E230" t="s">
        <v>349</v>
      </c>
      <c r="G230" t="str">
        <f t="shared" si="4"/>
        <v>Heuchera americana var. americana</v>
      </c>
      <c r="H230" t="str">
        <v>I2</v>
      </c>
    </row>
    <row r="231" spans="1:8" x14ac:dyDescent="0.2">
      <c r="A231" t="s">
        <v>18</v>
      </c>
      <c r="B231" t="s">
        <v>351</v>
      </c>
      <c r="E231" t="s">
        <v>351</v>
      </c>
      <c r="G231" t="str">
        <f t="shared" si="4"/>
        <v>Heuchera americana var. americana</v>
      </c>
      <c r="H231" t="str">
        <v>A33</v>
      </c>
    </row>
    <row r="232" spans="1:8" x14ac:dyDescent="0.2">
      <c r="A232" t="s">
        <v>18</v>
      </c>
      <c r="B232" t="s">
        <v>352</v>
      </c>
      <c r="E232" t="s">
        <v>352</v>
      </c>
      <c r="G232" t="str">
        <f t="shared" si="4"/>
        <v>Heuchera americana var. americana</v>
      </c>
      <c r="H232" t="str">
        <v>A28</v>
      </c>
    </row>
    <row r="233" spans="1:8" x14ac:dyDescent="0.2">
      <c r="A233" t="s">
        <v>18</v>
      </c>
      <c r="B233" t="s">
        <v>353</v>
      </c>
      <c r="E233" t="s">
        <v>353</v>
      </c>
      <c r="G233" t="str">
        <f t="shared" si="4"/>
        <v>Heuchera americana var. americana</v>
      </c>
      <c r="H233" t="str">
        <v>A29</v>
      </c>
    </row>
    <row r="234" spans="1:8" x14ac:dyDescent="0.2">
      <c r="A234" t="s">
        <v>18</v>
      </c>
      <c r="B234" t="s">
        <v>354</v>
      </c>
      <c r="E234" t="s">
        <v>354</v>
      </c>
      <c r="G234" t="str">
        <f t="shared" si="4"/>
        <v>Heuchera americana var. americana</v>
      </c>
      <c r="H234" t="str">
        <v>A53</v>
      </c>
    </row>
    <row r="235" spans="1:8" x14ac:dyDescent="0.2">
      <c r="A235" t="s">
        <v>18</v>
      </c>
      <c r="B235" t="s">
        <v>355</v>
      </c>
      <c r="E235" t="s">
        <v>355</v>
      </c>
      <c r="G235" t="str">
        <f t="shared" si="4"/>
        <v>Heuchera americana var. americana</v>
      </c>
      <c r="H235" t="str">
        <v>A54</v>
      </c>
    </row>
    <row r="236" spans="1:8" x14ac:dyDescent="0.2">
      <c r="A236" t="s">
        <v>18</v>
      </c>
      <c r="B236" t="s">
        <v>356</v>
      </c>
      <c r="E236" t="s">
        <v>356</v>
      </c>
      <c r="G236" t="str">
        <f t="shared" si="4"/>
        <v>Heuchera americana var. americana</v>
      </c>
      <c r="H236" t="str">
        <v>E1515</v>
      </c>
    </row>
    <row r="237" spans="1:8" x14ac:dyDescent="0.2">
      <c r="A237" t="s">
        <v>18</v>
      </c>
      <c r="B237" t="s">
        <v>357</v>
      </c>
      <c r="E237" t="s">
        <v>357</v>
      </c>
      <c r="G237" t="str">
        <f t="shared" si="4"/>
        <v>Heuchera americana var. americana</v>
      </c>
      <c r="H237" t="str">
        <v>E1516</v>
      </c>
    </row>
    <row r="238" spans="1:8" x14ac:dyDescent="0.2">
      <c r="A238" t="s">
        <v>18</v>
      </c>
      <c r="B238" t="s">
        <v>360</v>
      </c>
      <c r="E238" t="s">
        <v>360</v>
      </c>
      <c r="G238" t="str">
        <f t="shared" si="4"/>
        <v>Heuchera americana var. americana</v>
      </c>
      <c r="H238" t="str">
        <v>E1578</v>
      </c>
    </row>
    <row r="239" spans="1:8" x14ac:dyDescent="0.2">
      <c r="A239" t="s">
        <v>18</v>
      </c>
      <c r="B239" t="s">
        <v>362</v>
      </c>
      <c r="E239" t="s">
        <v>362</v>
      </c>
      <c r="G239" t="str">
        <f t="shared" si="4"/>
        <v>Heuchera americana var. americana</v>
      </c>
      <c r="H239" t="str">
        <v>E1579</v>
      </c>
    </row>
    <row r="240" spans="1:8" x14ac:dyDescent="0.2">
      <c r="A240" t="s">
        <v>18</v>
      </c>
      <c r="B240" t="s">
        <v>364</v>
      </c>
      <c r="E240" t="s">
        <v>364</v>
      </c>
      <c r="G240" t="str">
        <f t="shared" si="4"/>
        <v>Heuchera americana var. americana</v>
      </c>
      <c r="H240" t="str">
        <v>E502</v>
      </c>
    </row>
    <row r="241" spans="1:8" x14ac:dyDescent="0.2">
      <c r="A241" t="s">
        <v>18</v>
      </c>
      <c r="B241" t="s">
        <v>366</v>
      </c>
      <c r="E241" t="s">
        <v>366</v>
      </c>
      <c r="G241" t="str">
        <f t="shared" si="4"/>
        <v>Heuchera americana var. americana</v>
      </c>
      <c r="H241" t="str">
        <v>E514</v>
      </c>
    </row>
    <row r="242" spans="1:8" x14ac:dyDescent="0.2">
      <c r="A242" t="s">
        <v>18</v>
      </c>
      <c r="B242" t="s">
        <v>367</v>
      </c>
      <c r="E242" t="s">
        <v>367</v>
      </c>
      <c r="G242" t="str">
        <f t="shared" si="4"/>
        <v>Heuchera americana var. americana</v>
      </c>
      <c r="H242" t="str">
        <v>E515</v>
      </c>
    </row>
    <row r="243" spans="1:8" x14ac:dyDescent="0.2">
      <c r="A243" t="s">
        <v>18</v>
      </c>
      <c r="B243" t="s">
        <v>369</v>
      </c>
      <c r="E243" t="s">
        <v>369</v>
      </c>
      <c r="G243" t="str">
        <f t="shared" si="4"/>
        <v>Heuchera americana var. americana</v>
      </c>
      <c r="H243" t="str">
        <v>E518</v>
      </c>
    </row>
    <row r="244" spans="1:8" x14ac:dyDescent="0.2">
      <c r="A244" t="s">
        <v>18</v>
      </c>
      <c r="B244" t="s">
        <v>370</v>
      </c>
      <c r="E244" t="s">
        <v>370</v>
      </c>
      <c r="G244" t="str">
        <f t="shared" si="4"/>
        <v>Heuchera americana var. americana</v>
      </c>
      <c r="H244" t="str">
        <v>E522</v>
      </c>
    </row>
    <row r="245" spans="1:8" x14ac:dyDescent="0.2">
      <c r="A245" t="s">
        <v>18</v>
      </c>
      <c r="B245" t="s">
        <v>371</v>
      </c>
      <c r="E245" t="s">
        <v>371</v>
      </c>
      <c r="G245" t="str">
        <f t="shared" si="4"/>
        <v>Heuchera americana var. americana</v>
      </c>
      <c r="H245" t="str">
        <v>A55</v>
      </c>
    </row>
    <row r="246" spans="1:8" x14ac:dyDescent="0.2">
      <c r="A246" t="s">
        <v>18</v>
      </c>
      <c r="B246" t="s">
        <v>372</v>
      </c>
      <c r="E246" t="s">
        <v>372</v>
      </c>
      <c r="G246" t="str">
        <f t="shared" si="4"/>
        <v>Heuchera americana var. americana</v>
      </c>
      <c r="H246" t="str">
        <v>A62</v>
      </c>
    </row>
    <row r="247" spans="1:8" x14ac:dyDescent="0.2">
      <c r="A247" t="s">
        <v>18</v>
      </c>
      <c r="B247" t="s">
        <v>373</v>
      </c>
      <c r="E247" t="s">
        <v>373</v>
      </c>
      <c r="G247" t="str">
        <f t="shared" si="4"/>
        <v>Heuchera americana var. americana</v>
      </c>
      <c r="H247" t="str">
        <v>A63</v>
      </c>
    </row>
    <row r="248" spans="1:8" x14ac:dyDescent="0.2">
      <c r="A248" t="s">
        <v>18</v>
      </c>
      <c r="B248" t="s">
        <v>375</v>
      </c>
      <c r="E248" t="s">
        <v>375</v>
      </c>
      <c r="G248" t="str">
        <f t="shared" si="4"/>
        <v>Heuchera americana var. americana</v>
      </c>
      <c r="H248" t="str">
        <v>I70</v>
      </c>
    </row>
    <row r="249" spans="1:8" x14ac:dyDescent="0.2">
      <c r="A249" t="s">
        <v>18</v>
      </c>
      <c r="B249" t="s">
        <v>377</v>
      </c>
      <c r="E249" t="s">
        <v>377</v>
      </c>
      <c r="G249" t="str">
        <f t="shared" si="4"/>
        <v>Heuchera americana var. hirsuticaulis</v>
      </c>
      <c r="H249" t="str">
        <v>A13</v>
      </c>
    </row>
    <row r="250" spans="1:8" x14ac:dyDescent="0.2">
      <c r="A250" t="s">
        <v>18</v>
      </c>
      <c r="B250" t="s">
        <v>379</v>
      </c>
      <c r="E250" t="s">
        <v>379</v>
      </c>
      <c r="G250" t="str">
        <f t="shared" si="4"/>
        <v>Heuchera americana var. hirsuticaulis</v>
      </c>
      <c r="H250" t="str">
        <v>A14</v>
      </c>
    </row>
    <row r="251" spans="1:8" x14ac:dyDescent="0.2">
      <c r="A251" t="s">
        <v>18</v>
      </c>
      <c r="B251" t="s">
        <v>382</v>
      </c>
      <c r="E251" t="s">
        <v>382</v>
      </c>
      <c r="G251" t="str">
        <f t="shared" si="4"/>
        <v>Heuchera americana var. hirsuticaulis</v>
      </c>
      <c r="H251" t="str">
        <v>A31</v>
      </c>
    </row>
    <row r="252" spans="1:8" x14ac:dyDescent="0.2">
      <c r="A252" t="s">
        <v>18</v>
      </c>
      <c r="B252" t="s">
        <v>384</v>
      </c>
      <c r="E252" t="s">
        <v>384</v>
      </c>
      <c r="G252" t="str">
        <f t="shared" si="4"/>
        <v>Heuchera americana var. hirsuticaulis</v>
      </c>
      <c r="H252" t="str">
        <v>A32</v>
      </c>
    </row>
    <row r="253" spans="1:8" x14ac:dyDescent="0.2">
      <c r="A253" t="s">
        <v>18</v>
      </c>
      <c r="B253" t="s">
        <v>385</v>
      </c>
      <c r="E253" t="s">
        <v>385</v>
      </c>
      <c r="G253" t="str">
        <f t="shared" si="4"/>
        <v>Heuchera americana var. hirsuticaulis</v>
      </c>
      <c r="H253" t="str">
        <v>A38</v>
      </c>
    </row>
    <row r="254" spans="1:8" x14ac:dyDescent="0.2">
      <c r="A254" t="s">
        <v>18</v>
      </c>
      <c r="B254" t="s">
        <v>387</v>
      </c>
      <c r="E254" t="s">
        <v>387</v>
      </c>
      <c r="G254" t="str">
        <f t="shared" si="4"/>
        <v>Heuchera americana var. hirsuticaulis</v>
      </c>
      <c r="H254" t="str">
        <v>A39</v>
      </c>
    </row>
    <row r="255" spans="1:8" x14ac:dyDescent="0.2">
      <c r="A255" t="s">
        <v>18</v>
      </c>
      <c r="B255" t="s">
        <v>388</v>
      </c>
      <c r="E255" t="s">
        <v>388</v>
      </c>
      <c r="G255" t="str">
        <f t="shared" si="4"/>
        <v>Heuchera americana var. hirsuticaulis</v>
      </c>
      <c r="H255" t="str">
        <v>A40</v>
      </c>
    </row>
    <row r="256" spans="1:8" x14ac:dyDescent="0.2">
      <c r="A256" t="s">
        <v>18</v>
      </c>
      <c r="B256" t="s">
        <v>389</v>
      </c>
      <c r="E256" t="s">
        <v>389</v>
      </c>
      <c r="G256" t="str">
        <f t="shared" si="4"/>
        <v>Heuchera americana var. hirsuticaulis</v>
      </c>
      <c r="H256" t="str">
        <v>A41</v>
      </c>
    </row>
    <row r="257" spans="1:8" x14ac:dyDescent="0.2">
      <c r="A257" t="s">
        <v>18</v>
      </c>
      <c r="B257" t="s">
        <v>390</v>
      </c>
      <c r="E257" t="s">
        <v>390</v>
      </c>
      <c r="G257" t="str">
        <f t="shared" si="4"/>
        <v>Heuchera americana var. hirsuticaulis</v>
      </c>
      <c r="H257" t="str">
        <v>A45</v>
      </c>
    </row>
    <row r="258" spans="1:8" x14ac:dyDescent="0.2">
      <c r="A258" t="s">
        <v>18</v>
      </c>
      <c r="B258" t="s">
        <v>392</v>
      </c>
      <c r="E258" t="s">
        <v>392</v>
      </c>
      <c r="G258" t="str">
        <f t="shared" si="4"/>
        <v>Heuchera americana var. hirsuticaulis</v>
      </c>
      <c r="H258" t="str">
        <v>A46</v>
      </c>
    </row>
    <row r="259" spans="1:8" x14ac:dyDescent="0.2">
      <c r="A259" t="s">
        <v>18</v>
      </c>
      <c r="B259" t="s">
        <v>393</v>
      </c>
      <c r="E259" t="s">
        <v>393</v>
      </c>
      <c r="G259" t="str">
        <f t="shared" ref="G259:G322" si="5">IF(H259&lt;&gt;"", INDEX(A:A, MATCH(H259, E:E, 0)), "NA")</f>
        <v>Heuchera americana var. hirsuticaulis</v>
      </c>
      <c r="H259" t="str">
        <v>A47</v>
      </c>
    </row>
    <row r="260" spans="1:8" x14ac:dyDescent="0.2">
      <c r="A260" t="s">
        <v>18</v>
      </c>
      <c r="B260" t="s">
        <v>394</v>
      </c>
      <c r="E260" t="s">
        <v>394</v>
      </c>
      <c r="G260" t="str">
        <f t="shared" si="5"/>
        <v>Heuchera americana var. hirsuticaulis</v>
      </c>
      <c r="H260" t="str">
        <v>A48</v>
      </c>
    </row>
    <row r="261" spans="1:8" x14ac:dyDescent="0.2">
      <c r="A261" t="s">
        <v>18</v>
      </c>
      <c r="B261" t="s">
        <v>396</v>
      </c>
      <c r="E261" t="s">
        <v>396</v>
      </c>
      <c r="G261" t="str">
        <f t="shared" si="5"/>
        <v>Heuchera americana var. hirsuticaulis</v>
      </c>
      <c r="H261" t="str">
        <v>A49</v>
      </c>
    </row>
    <row r="262" spans="1:8" x14ac:dyDescent="0.2">
      <c r="A262" t="s">
        <v>18</v>
      </c>
      <c r="B262" t="s">
        <v>398</v>
      </c>
      <c r="E262" t="s">
        <v>398</v>
      </c>
      <c r="G262" t="str">
        <f t="shared" si="5"/>
        <v>Heuchera americana var. hirsuticaulis</v>
      </c>
      <c r="H262" t="str">
        <v>A9</v>
      </c>
    </row>
    <row r="263" spans="1:8" x14ac:dyDescent="0.2">
      <c r="A263" t="s">
        <v>18</v>
      </c>
      <c r="B263" t="s">
        <v>400</v>
      </c>
      <c r="E263" t="s">
        <v>400</v>
      </c>
      <c r="G263" t="str">
        <f t="shared" si="5"/>
        <v>Heuchera americana var. hirsuticaulis</v>
      </c>
      <c r="H263" t="str">
        <v>E1459</v>
      </c>
    </row>
    <row r="264" spans="1:8" x14ac:dyDescent="0.2">
      <c r="A264" t="s">
        <v>18</v>
      </c>
      <c r="B264" t="s">
        <v>401</v>
      </c>
      <c r="E264" t="s">
        <v>401</v>
      </c>
      <c r="G264" t="str">
        <f t="shared" si="5"/>
        <v>Heuchera americana var. hirsuticaulis</v>
      </c>
      <c r="H264" t="str">
        <v>E1460</v>
      </c>
    </row>
    <row r="265" spans="1:8" x14ac:dyDescent="0.2">
      <c r="A265" t="s">
        <v>18</v>
      </c>
      <c r="B265" t="s">
        <v>402</v>
      </c>
      <c r="E265" t="s">
        <v>402</v>
      </c>
      <c r="G265" t="str">
        <f t="shared" si="5"/>
        <v>Heuchera americana var. hirsuticaulis</v>
      </c>
      <c r="H265" t="str">
        <v>E1461</v>
      </c>
    </row>
    <row r="266" spans="1:8" x14ac:dyDescent="0.2">
      <c r="A266" t="s">
        <v>18</v>
      </c>
      <c r="B266" t="s">
        <v>403</v>
      </c>
      <c r="E266" t="s">
        <v>1034</v>
      </c>
      <c r="G266" t="str">
        <f t="shared" si="5"/>
        <v>Heuchera americana var. hirsuticaulis</v>
      </c>
      <c r="H266" t="str">
        <v>E1462</v>
      </c>
    </row>
    <row r="267" spans="1:8" x14ac:dyDescent="0.2">
      <c r="A267" t="s">
        <v>18</v>
      </c>
      <c r="B267" t="s">
        <v>404</v>
      </c>
      <c r="E267" t="s">
        <v>404</v>
      </c>
      <c r="G267" t="str">
        <f t="shared" si="5"/>
        <v>Heuchera americana var. hirsuticaulis</v>
      </c>
      <c r="H267" t="str">
        <v>E1463</v>
      </c>
    </row>
    <row r="268" spans="1:8" x14ac:dyDescent="0.2">
      <c r="A268" t="s">
        <v>18</v>
      </c>
      <c r="B268" t="s">
        <v>405</v>
      </c>
      <c r="E268" t="s">
        <v>405</v>
      </c>
      <c r="G268" t="str">
        <f t="shared" si="5"/>
        <v>Heuchera americana var. hirsuticaulis</v>
      </c>
      <c r="H268" t="str">
        <v>E1524</v>
      </c>
    </row>
    <row r="269" spans="1:8" x14ac:dyDescent="0.2">
      <c r="A269" t="s">
        <v>18</v>
      </c>
      <c r="B269" t="s">
        <v>406</v>
      </c>
      <c r="E269" t="s">
        <v>406</v>
      </c>
      <c r="G269" t="str">
        <f t="shared" si="5"/>
        <v>Heuchera americana var. hirsuticaulis</v>
      </c>
      <c r="H269" t="str">
        <v>E1525</v>
      </c>
    </row>
    <row r="270" spans="1:8" x14ac:dyDescent="0.2">
      <c r="A270" t="s">
        <v>18</v>
      </c>
      <c r="B270" t="s">
        <v>407</v>
      </c>
      <c r="E270" t="s">
        <v>1035</v>
      </c>
      <c r="G270" t="str">
        <f t="shared" si="5"/>
        <v>Heuchera americana var. hirsuticaulis</v>
      </c>
      <c r="H270" t="str">
        <v>E1526</v>
      </c>
    </row>
    <row r="271" spans="1:8" x14ac:dyDescent="0.2">
      <c r="A271" t="s">
        <v>18</v>
      </c>
      <c r="B271" t="s">
        <v>409</v>
      </c>
      <c r="E271" t="s">
        <v>1036</v>
      </c>
      <c r="G271" t="str">
        <f t="shared" si="5"/>
        <v>Heuchera americana var. hirsuticaulis</v>
      </c>
      <c r="H271" t="str">
        <v>E1527</v>
      </c>
    </row>
    <row r="272" spans="1:8" x14ac:dyDescent="0.2">
      <c r="A272" t="s">
        <v>18</v>
      </c>
      <c r="B272" t="s">
        <v>411</v>
      </c>
      <c r="E272" t="s">
        <v>1037</v>
      </c>
      <c r="G272" t="str">
        <f t="shared" si="5"/>
        <v>Heuchera americana var. hirsuticaulis</v>
      </c>
      <c r="H272" t="str">
        <v>E1528</v>
      </c>
    </row>
    <row r="273" spans="1:8" x14ac:dyDescent="0.2">
      <c r="A273" t="s">
        <v>18</v>
      </c>
      <c r="B273" t="s">
        <v>412</v>
      </c>
      <c r="E273" t="s">
        <v>1037</v>
      </c>
      <c r="G273" t="str">
        <f t="shared" si="5"/>
        <v>Heuchera americana var. hirsuticaulis</v>
      </c>
      <c r="H273" t="str">
        <v>E1529</v>
      </c>
    </row>
    <row r="274" spans="1:8" x14ac:dyDescent="0.2">
      <c r="A274" t="s">
        <v>18</v>
      </c>
      <c r="B274" t="s">
        <v>413</v>
      </c>
      <c r="E274" t="s">
        <v>1037</v>
      </c>
      <c r="G274" t="str">
        <f t="shared" si="5"/>
        <v>Heuchera americana var. hirsuticaulis</v>
      </c>
      <c r="H274" t="str">
        <v>E1531</v>
      </c>
    </row>
    <row r="275" spans="1:8" x14ac:dyDescent="0.2">
      <c r="A275" t="s">
        <v>18</v>
      </c>
      <c r="B275" t="s">
        <v>414</v>
      </c>
      <c r="E275" t="s">
        <v>414</v>
      </c>
      <c r="G275" t="str">
        <f t="shared" si="5"/>
        <v>Heuchera americana var. hirsuticaulis</v>
      </c>
      <c r="H275" t="str">
        <v>E1532</v>
      </c>
    </row>
    <row r="276" spans="1:8" x14ac:dyDescent="0.2">
      <c r="A276" t="s">
        <v>18</v>
      </c>
      <c r="B276" t="s">
        <v>415</v>
      </c>
      <c r="E276" t="s">
        <v>415</v>
      </c>
      <c r="G276" t="str">
        <f t="shared" si="5"/>
        <v>Heuchera americana var. hirsuticaulis</v>
      </c>
      <c r="H276" t="str">
        <v>E1533</v>
      </c>
    </row>
    <row r="277" spans="1:8" x14ac:dyDescent="0.2">
      <c r="A277" t="s">
        <v>18</v>
      </c>
      <c r="B277" t="s">
        <v>416</v>
      </c>
      <c r="E277" t="s">
        <v>416</v>
      </c>
      <c r="G277" t="str">
        <f t="shared" si="5"/>
        <v>Heuchera americana var. hirsuticaulis</v>
      </c>
      <c r="H277" t="str">
        <v>E1534</v>
      </c>
    </row>
    <row r="278" spans="1:8" x14ac:dyDescent="0.2">
      <c r="A278" t="s">
        <v>18</v>
      </c>
      <c r="B278" t="s">
        <v>417</v>
      </c>
      <c r="E278" t="s">
        <v>417</v>
      </c>
      <c r="G278" t="str">
        <f t="shared" si="5"/>
        <v>Heuchera americana var. hirsuticaulis</v>
      </c>
      <c r="H278" t="str">
        <v>E1535</v>
      </c>
    </row>
    <row r="279" spans="1:8" x14ac:dyDescent="0.2">
      <c r="A279" t="s">
        <v>18</v>
      </c>
      <c r="B279" t="s">
        <v>418</v>
      </c>
      <c r="E279" t="s">
        <v>418</v>
      </c>
      <c r="G279" t="str">
        <f t="shared" si="5"/>
        <v>Heuchera americana var. hirsuticaulis</v>
      </c>
      <c r="H279" t="str">
        <v>E1536</v>
      </c>
    </row>
    <row r="280" spans="1:8" x14ac:dyDescent="0.2">
      <c r="A280" t="s">
        <v>18</v>
      </c>
      <c r="B280" t="s">
        <v>419</v>
      </c>
      <c r="E280" t="s">
        <v>419</v>
      </c>
      <c r="G280" t="str">
        <f t="shared" si="5"/>
        <v>Heuchera americana var. hirsuticaulis</v>
      </c>
      <c r="H280" t="str">
        <v>E1537</v>
      </c>
    </row>
    <row r="281" spans="1:8" x14ac:dyDescent="0.2">
      <c r="A281" t="s">
        <v>18</v>
      </c>
      <c r="B281" t="s">
        <v>421</v>
      </c>
      <c r="E281" t="s">
        <v>421</v>
      </c>
      <c r="G281" t="str">
        <f t="shared" si="5"/>
        <v>Heuchera americana var. hirsuticaulis</v>
      </c>
      <c r="H281" t="str">
        <v>E1538</v>
      </c>
    </row>
    <row r="282" spans="1:8" x14ac:dyDescent="0.2">
      <c r="A282" t="s">
        <v>18</v>
      </c>
      <c r="B282" t="s">
        <v>423</v>
      </c>
      <c r="E282" t="s">
        <v>423</v>
      </c>
      <c r="G282" t="str">
        <f t="shared" si="5"/>
        <v>Heuchera americana var. hirsuticaulis</v>
      </c>
      <c r="H282" t="str">
        <v>E1539</v>
      </c>
    </row>
    <row r="283" spans="1:8" x14ac:dyDescent="0.2">
      <c r="A283" t="s">
        <v>18</v>
      </c>
      <c r="B283" t="s">
        <v>425</v>
      </c>
      <c r="E283" t="s">
        <v>425</v>
      </c>
      <c r="G283" t="str">
        <f t="shared" si="5"/>
        <v>Heuchera americana var. hirsuticaulis</v>
      </c>
      <c r="H283" t="str">
        <v>E1540</v>
      </c>
    </row>
    <row r="284" spans="1:8" x14ac:dyDescent="0.2">
      <c r="A284" t="s">
        <v>18</v>
      </c>
      <c r="B284" t="s">
        <v>427</v>
      </c>
      <c r="E284" t="s">
        <v>427</v>
      </c>
      <c r="G284" t="str">
        <f t="shared" si="5"/>
        <v>Heuchera americana var. hirsuticaulis</v>
      </c>
      <c r="H284" t="str">
        <v>E1543</v>
      </c>
    </row>
    <row r="285" spans="1:8" x14ac:dyDescent="0.2">
      <c r="A285" t="s">
        <v>18</v>
      </c>
      <c r="B285" t="s">
        <v>429</v>
      </c>
      <c r="E285" t="s">
        <v>429</v>
      </c>
      <c r="G285" t="str">
        <f t="shared" si="5"/>
        <v>Heuchera americana var. hirsuticaulis</v>
      </c>
      <c r="H285" t="str">
        <v>E1580</v>
      </c>
    </row>
    <row r="286" spans="1:8" x14ac:dyDescent="0.2">
      <c r="A286" t="s">
        <v>18</v>
      </c>
      <c r="B286" t="s">
        <v>431</v>
      </c>
      <c r="E286" t="s">
        <v>431</v>
      </c>
      <c r="G286" t="str">
        <f t="shared" si="5"/>
        <v>Heuchera americana var. hirsuticaulis</v>
      </c>
      <c r="H286" t="str">
        <v>E1680</v>
      </c>
    </row>
    <row r="287" spans="1:8" x14ac:dyDescent="0.2">
      <c r="A287" t="s">
        <v>18</v>
      </c>
      <c r="B287" t="s">
        <v>432</v>
      </c>
      <c r="E287" t="s">
        <v>432</v>
      </c>
      <c r="G287" t="str">
        <f t="shared" si="5"/>
        <v>Heuchera americana var. hirsuticaulis</v>
      </c>
      <c r="H287" t="str">
        <v>E1681</v>
      </c>
    </row>
    <row r="288" spans="1:8" x14ac:dyDescent="0.2">
      <c r="A288" t="s">
        <v>18</v>
      </c>
      <c r="B288" t="s">
        <v>433</v>
      </c>
      <c r="E288" t="s">
        <v>433</v>
      </c>
      <c r="G288" t="str">
        <f t="shared" si="5"/>
        <v>Heuchera americana var. hirsuticaulis</v>
      </c>
      <c r="H288" t="str">
        <v>E1693</v>
      </c>
    </row>
    <row r="289" spans="1:8" x14ac:dyDescent="0.2">
      <c r="A289" t="s">
        <v>18</v>
      </c>
      <c r="B289" t="s">
        <v>435</v>
      </c>
      <c r="E289" t="s">
        <v>435</v>
      </c>
      <c r="G289" t="str">
        <f t="shared" si="5"/>
        <v>Heuchera americana var. hirsuticaulis</v>
      </c>
      <c r="H289" t="str">
        <v>E1694</v>
      </c>
    </row>
    <row r="290" spans="1:8" x14ac:dyDescent="0.2">
      <c r="A290" t="s">
        <v>18</v>
      </c>
      <c r="B290" t="s">
        <v>436</v>
      </c>
      <c r="E290" t="s">
        <v>436</v>
      </c>
      <c r="G290" t="str">
        <f t="shared" si="5"/>
        <v>Heuchera americana var. hirsuticaulis</v>
      </c>
      <c r="H290" t="str">
        <v>E1695</v>
      </c>
    </row>
    <row r="291" spans="1:8" x14ac:dyDescent="0.2">
      <c r="A291" t="s">
        <v>18</v>
      </c>
      <c r="B291" t="s">
        <v>438</v>
      </c>
      <c r="E291" t="s">
        <v>438</v>
      </c>
      <c r="G291" t="str">
        <f t="shared" si="5"/>
        <v>Heuchera americana var. hirsuticaulis</v>
      </c>
      <c r="H291" t="str">
        <v>E1697</v>
      </c>
    </row>
    <row r="292" spans="1:8" x14ac:dyDescent="0.2">
      <c r="A292" t="s">
        <v>18</v>
      </c>
      <c r="B292" t="s">
        <v>441</v>
      </c>
      <c r="E292" t="s">
        <v>441</v>
      </c>
      <c r="G292" t="str">
        <f t="shared" si="5"/>
        <v>Heuchera americana var. hirsuticaulis</v>
      </c>
      <c r="H292" t="str">
        <v>E1698</v>
      </c>
    </row>
    <row r="293" spans="1:8" x14ac:dyDescent="0.2">
      <c r="A293" t="s">
        <v>18</v>
      </c>
      <c r="B293" t="s">
        <v>443</v>
      </c>
      <c r="E293" t="s">
        <v>443</v>
      </c>
      <c r="G293" t="str">
        <f t="shared" si="5"/>
        <v>Heuchera americana var. hirsuticaulis</v>
      </c>
      <c r="H293" t="str">
        <v>E1699</v>
      </c>
    </row>
    <row r="294" spans="1:8" x14ac:dyDescent="0.2">
      <c r="A294" t="s">
        <v>18</v>
      </c>
      <c r="B294" t="s">
        <v>445</v>
      </c>
      <c r="E294" t="s">
        <v>445</v>
      </c>
      <c r="G294" t="str">
        <f t="shared" si="5"/>
        <v>Heuchera americana var. hirsuticaulis</v>
      </c>
      <c r="H294" t="str">
        <v>E1701</v>
      </c>
    </row>
    <row r="295" spans="1:8" x14ac:dyDescent="0.2">
      <c r="A295" t="s">
        <v>18</v>
      </c>
      <c r="B295" t="s">
        <v>447</v>
      </c>
      <c r="E295" t="s">
        <v>447</v>
      </c>
      <c r="G295" t="str">
        <f t="shared" si="5"/>
        <v>Heuchera americana var. hirsuticaulis</v>
      </c>
      <c r="H295" t="str">
        <v>E1702</v>
      </c>
    </row>
    <row r="296" spans="1:8" x14ac:dyDescent="0.2">
      <c r="A296" t="s">
        <v>18</v>
      </c>
      <c r="B296" t="s">
        <v>448</v>
      </c>
      <c r="E296" t="s">
        <v>448</v>
      </c>
      <c r="G296" t="str">
        <f t="shared" si="5"/>
        <v>Heuchera americana var. hirsuticaulis</v>
      </c>
      <c r="H296" t="str">
        <v>E1703</v>
      </c>
    </row>
    <row r="297" spans="1:8" x14ac:dyDescent="0.2">
      <c r="A297" t="s">
        <v>18</v>
      </c>
      <c r="B297" t="s">
        <v>449</v>
      </c>
      <c r="E297" t="s">
        <v>449</v>
      </c>
      <c r="G297" t="str">
        <f t="shared" si="5"/>
        <v>Heuchera americana var. hirsuticaulis</v>
      </c>
      <c r="H297" t="str">
        <v>E1704</v>
      </c>
    </row>
    <row r="298" spans="1:8" x14ac:dyDescent="0.2">
      <c r="A298" t="s">
        <v>18</v>
      </c>
      <c r="B298" t="s">
        <v>450</v>
      </c>
      <c r="E298" t="s">
        <v>450</v>
      </c>
      <c r="G298" t="str">
        <f t="shared" si="5"/>
        <v>Heuchera americana var. hirsuticaulis</v>
      </c>
      <c r="H298" t="str">
        <v>E1705</v>
      </c>
    </row>
    <row r="299" spans="1:8" x14ac:dyDescent="0.2">
      <c r="A299" t="s">
        <v>18</v>
      </c>
      <c r="B299" t="s">
        <v>451</v>
      </c>
      <c r="E299" t="s">
        <v>451</v>
      </c>
      <c r="G299" t="str">
        <f t="shared" si="5"/>
        <v>Heuchera americana var. hirsuticaulis</v>
      </c>
      <c r="H299" t="str">
        <v>E1706</v>
      </c>
    </row>
    <row r="300" spans="1:8" x14ac:dyDescent="0.2">
      <c r="A300" t="s">
        <v>18</v>
      </c>
      <c r="B300" t="s">
        <v>452</v>
      </c>
      <c r="E300" t="s">
        <v>452</v>
      </c>
      <c r="G300" t="str">
        <f t="shared" si="5"/>
        <v>Heuchera americana var. hirsuticaulis</v>
      </c>
      <c r="H300" t="str">
        <v>E1707</v>
      </c>
    </row>
    <row r="301" spans="1:8" x14ac:dyDescent="0.2">
      <c r="A301" t="s">
        <v>18</v>
      </c>
      <c r="B301" t="s">
        <v>454</v>
      </c>
      <c r="E301" t="s">
        <v>454</v>
      </c>
      <c r="G301" t="str">
        <f t="shared" si="5"/>
        <v>Heuchera americana var. hirsuticaulis</v>
      </c>
      <c r="H301" t="str">
        <v>E1708</v>
      </c>
    </row>
    <row r="302" spans="1:8" x14ac:dyDescent="0.2">
      <c r="A302" t="s">
        <v>18</v>
      </c>
      <c r="B302" t="s">
        <v>455</v>
      </c>
      <c r="E302" t="s">
        <v>455</v>
      </c>
      <c r="G302" t="str">
        <f t="shared" si="5"/>
        <v>Heuchera americana var. hirsuticaulis</v>
      </c>
      <c r="H302" t="str">
        <v>E1710</v>
      </c>
    </row>
    <row r="303" spans="1:8" x14ac:dyDescent="0.2">
      <c r="A303" t="s">
        <v>18</v>
      </c>
      <c r="B303" t="s">
        <v>456</v>
      </c>
      <c r="E303" t="s">
        <v>1038</v>
      </c>
      <c r="G303" t="str">
        <f t="shared" si="5"/>
        <v>Heuchera americana var. hirsuticaulis</v>
      </c>
      <c r="H303" t="str">
        <v>E1711</v>
      </c>
    </row>
    <row r="304" spans="1:8" x14ac:dyDescent="0.2">
      <c r="A304" t="s">
        <v>18</v>
      </c>
      <c r="B304" t="s">
        <v>457</v>
      </c>
      <c r="E304" t="s">
        <v>1038</v>
      </c>
      <c r="G304" t="str">
        <f t="shared" si="5"/>
        <v>Heuchera americana var. hirsuticaulis</v>
      </c>
      <c r="H304" t="str">
        <v>E441</v>
      </c>
    </row>
    <row r="305" spans="1:8" x14ac:dyDescent="0.2">
      <c r="A305" t="s">
        <v>18</v>
      </c>
      <c r="B305" t="s">
        <v>458</v>
      </c>
      <c r="E305" t="s">
        <v>1038</v>
      </c>
      <c r="G305" t="str">
        <f t="shared" si="5"/>
        <v>Heuchera americana var. hirsuticaulis</v>
      </c>
      <c r="H305" t="str">
        <v>E442</v>
      </c>
    </row>
    <row r="306" spans="1:8" x14ac:dyDescent="0.2">
      <c r="A306" t="s">
        <v>18</v>
      </c>
      <c r="B306" t="s">
        <v>459</v>
      </c>
      <c r="E306" t="s">
        <v>1038</v>
      </c>
      <c r="G306" t="str">
        <f t="shared" si="5"/>
        <v>Heuchera americana var. hirsuticaulis</v>
      </c>
      <c r="H306" t="str">
        <v>E498</v>
      </c>
    </row>
    <row r="307" spans="1:8" x14ac:dyDescent="0.2">
      <c r="A307" t="s">
        <v>18</v>
      </c>
      <c r="B307" t="s">
        <v>460</v>
      </c>
      <c r="E307" t="s">
        <v>1038</v>
      </c>
      <c r="G307" t="str">
        <f t="shared" si="5"/>
        <v>Heuchera americana var. hirsuticaulis</v>
      </c>
      <c r="H307" t="str">
        <v>E499</v>
      </c>
    </row>
    <row r="308" spans="1:8" x14ac:dyDescent="0.2">
      <c r="A308" t="s">
        <v>18</v>
      </c>
      <c r="B308" t="s">
        <v>461</v>
      </c>
      <c r="E308" t="s">
        <v>1038</v>
      </c>
      <c r="G308" t="str">
        <f t="shared" si="5"/>
        <v>Heuchera americana var. hirsuticaulis</v>
      </c>
      <c r="H308" t="str">
        <v>E500</v>
      </c>
    </row>
    <row r="309" spans="1:8" x14ac:dyDescent="0.2">
      <c r="A309" t="s">
        <v>18</v>
      </c>
      <c r="B309" t="s">
        <v>462</v>
      </c>
      <c r="E309" t="s">
        <v>1039</v>
      </c>
      <c r="G309" t="str">
        <f t="shared" si="5"/>
        <v>Heuchera americana var. hirsuticaulis</v>
      </c>
      <c r="H309" t="str">
        <v>E501</v>
      </c>
    </row>
    <row r="310" spans="1:8" x14ac:dyDescent="0.2">
      <c r="A310" t="s">
        <v>18</v>
      </c>
      <c r="B310" t="s">
        <v>464</v>
      </c>
      <c r="E310" t="s">
        <v>1039</v>
      </c>
      <c r="G310" t="str">
        <f t="shared" si="5"/>
        <v>Heuchera americana var. hirsuticaulis</v>
      </c>
      <c r="H310" t="str">
        <v>E503</v>
      </c>
    </row>
    <row r="311" spans="1:8" x14ac:dyDescent="0.2">
      <c r="A311" t="s">
        <v>18</v>
      </c>
      <c r="B311" t="s">
        <v>465</v>
      </c>
      <c r="E311" t="s">
        <v>1039</v>
      </c>
      <c r="G311" t="str">
        <f t="shared" si="5"/>
        <v>Heuchera americana var. hirsuticaulis</v>
      </c>
      <c r="H311" t="str">
        <v>E513</v>
      </c>
    </row>
    <row r="312" spans="1:8" x14ac:dyDescent="0.2">
      <c r="A312" t="s">
        <v>18</v>
      </c>
      <c r="B312" t="s">
        <v>466</v>
      </c>
      <c r="E312" t="s">
        <v>1039</v>
      </c>
      <c r="G312" t="str">
        <f t="shared" si="5"/>
        <v>Heuchera americana var. hirsuticaulis</v>
      </c>
      <c r="H312" t="str">
        <v>E521</v>
      </c>
    </row>
    <row r="313" spans="1:8" x14ac:dyDescent="0.2">
      <c r="A313" t="s">
        <v>18</v>
      </c>
      <c r="B313" t="s">
        <v>467</v>
      </c>
      <c r="E313" t="s">
        <v>1039</v>
      </c>
      <c r="G313" t="str">
        <f t="shared" si="5"/>
        <v>Heuchera americana var. hirsuticaulis</v>
      </c>
      <c r="H313" t="str">
        <v>H177</v>
      </c>
    </row>
    <row r="314" spans="1:8" x14ac:dyDescent="0.2">
      <c r="A314" t="s">
        <v>18</v>
      </c>
      <c r="B314" t="s">
        <v>468</v>
      </c>
      <c r="E314" t="s">
        <v>1039</v>
      </c>
      <c r="G314" t="str">
        <f t="shared" si="5"/>
        <v>Heuchera americana var. hirsuticaulis</v>
      </c>
      <c r="H314" t="str">
        <v>H59</v>
      </c>
    </row>
    <row r="315" spans="1:8" x14ac:dyDescent="0.2">
      <c r="A315" t="s">
        <v>18</v>
      </c>
      <c r="B315" t="s">
        <v>469</v>
      </c>
      <c r="E315" t="s">
        <v>1039</v>
      </c>
      <c r="G315" t="str">
        <f t="shared" si="5"/>
        <v>Heuchera americana var. hirsuticaulis</v>
      </c>
      <c r="H315" t="str">
        <v>H60</v>
      </c>
    </row>
    <row r="316" spans="1:8" x14ac:dyDescent="0.2">
      <c r="A316" t="s">
        <v>18</v>
      </c>
      <c r="B316" t="s">
        <v>470</v>
      </c>
      <c r="E316" t="s">
        <v>1039</v>
      </c>
      <c r="G316" t="str">
        <f t="shared" si="5"/>
        <v>Heuchera americana var. hirsuticaulis</v>
      </c>
      <c r="H316" t="str">
        <v>H61</v>
      </c>
    </row>
    <row r="317" spans="1:8" x14ac:dyDescent="0.2">
      <c r="A317" t="s">
        <v>18</v>
      </c>
      <c r="B317" t="s">
        <v>471</v>
      </c>
      <c r="E317" t="s">
        <v>1039</v>
      </c>
      <c r="G317" t="str">
        <f t="shared" si="5"/>
        <v>Heuchera americana var. hirsuticaulis</v>
      </c>
      <c r="H317" t="str">
        <v>H62</v>
      </c>
    </row>
    <row r="318" spans="1:8" x14ac:dyDescent="0.2">
      <c r="A318" t="s">
        <v>18</v>
      </c>
      <c r="B318" t="s">
        <v>472</v>
      </c>
      <c r="E318" t="s">
        <v>1040</v>
      </c>
      <c r="G318" t="str">
        <f t="shared" si="5"/>
        <v>Heuchera americana var. hispida</v>
      </c>
      <c r="H318" t="str">
        <v>E1509</v>
      </c>
    </row>
    <row r="319" spans="1:8" x14ac:dyDescent="0.2">
      <c r="A319" t="s">
        <v>18</v>
      </c>
      <c r="B319" t="s">
        <v>473</v>
      </c>
      <c r="E319" t="s">
        <v>1040</v>
      </c>
      <c r="G319" t="str">
        <f t="shared" si="5"/>
        <v>Heuchera americana var. hispida</v>
      </c>
      <c r="H319" t="str">
        <v>E1546</v>
      </c>
    </row>
    <row r="320" spans="1:8" x14ac:dyDescent="0.2">
      <c r="A320" t="s">
        <v>18</v>
      </c>
      <c r="B320" t="s">
        <v>474</v>
      </c>
      <c r="E320" t="s">
        <v>1040</v>
      </c>
      <c r="G320" t="str">
        <f t="shared" si="5"/>
        <v>Heuchera americana var. hispida</v>
      </c>
      <c r="H320" t="str">
        <v>E1547</v>
      </c>
    </row>
    <row r="321" spans="1:8" x14ac:dyDescent="0.2">
      <c r="A321" t="s">
        <v>18</v>
      </c>
      <c r="B321" t="s">
        <v>475</v>
      </c>
      <c r="E321" t="s">
        <v>1040</v>
      </c>
      <c r="G321" t="str">
        <f t="shared" si="5"/>
        <v>Heuchera americana var. hispida</v>
      </c>
      <c r="H321" t="str">
        <v>E1548</v>
      </c>
    </row>
    <row r="322" spans="1:8" x14ac:dyDescent="0.2">
      <c r="A322" t="s">
        <v>18</v>
      </c>
      <c r="B322" t="s">
        <v>476</v>
      </c>
      <c r="E322" t="s">
        <v>1040</v>
      </c>
      <c r="G322" t="str">
        <f t="shared" si="5"/>
        <v>Heuchera americana var. hispida</v>
      </c>
      <c r="H322" t="str">
        <v>E1549</v>
      </c>
    </row>
    <row r="323" spans="1:8" x14ac:dyDescent="0.2">
      <c r="A323" t="s">
        <v>18</v>
      </c>
      <c r="B323" t="s">
        <v>477</v>
      </c>
      <c r="E323" t="s">
        <v>1040</v>
      </c>
      <c r="G323" t="str">
        <f t="shared" ref="G323:G386" si="6">IF(H323&lt;&gt;"", INDEX(A:A, MATCH(H323, E:E, 0)), "NA")</f>
        <v>Heuchera americana var. hispida</v>
      </c>
      <c r="H323" t="str">
        <v>E1550</v>
      </c>
    </row>
    <row r="324" spans="1:8" x14ac:dyDescent="0.2">
      <c r="A324" t="s">
        <v>18</v>
      </c>
      <c r="B324" t="s">
        <v>478</v>
      </c>
      <c r="E324" t="s">
        <v>1040</v>
      </c>
      <c r="G324" t="str">
        <f t="shared" si="6"/>
        <v>Heuchera americana var. hispida</v>
      </c>
      <c r="H324" t="str">
        <v>E1551</v>
      </c>
    </row>
    <row r="325" spans="1:8" x14ac:dyDescent="0.2">
      <c r="A325" t="s">
        <v>18</v>
      </c>
      <c r="B325" t="s">
        <v>479</v>
      </c>
      <c r="E325" t="s">
        <v>1040</v>
      </c>
      <c r="G325" t="str">
        <f t="shared" si="6"/>
        <v>Heuchera americana var. hispida</v>
      </c>
      <c r="H325" t="str">
        <v>E1552</v>
      </c>
    </row>
    <row r="326" spans="1:8" x14ac:dyDescent="0.2">
      <c r="A326" t="s">
        <v>18</v>
      </c>
      <c r="B326" t="s">
        <v>480</v>
      </c>
      <c r="E326" t="s">
        <v>1040</v>
      </c>
      <c r="G326" t="str">
        <f t="shared" si="6"/>
        <v>Heuchera americana var. hispida</v>
      </c>
      <c r="H326" t="str">
        <v>E1553</v>
      </c>
    </row>
    <row r="327" spans="1:8" x14ac:dyDescent="0.2">
      <c r="A327" t="s">
        <v>18</v>
      </c>
      <c r="B327" t="s">
        <v>481</v>
      </c>
      <c r="E327" t="s">
        <v>1040</v>
      </c>
      <c r="G327" t="str">
        <f t="shared" si="6"/>
        <v>Heuchera americana var. hispida</v>
      </c>
      <c r="H327" t="str">
        <v>E1554</v>
      </c>
    </row>
    <row r="328" spans="1:8" x14ac:dyDescent="0.2">
      <c r="A328" t="s">
        <v>18</v>
      </c>
      <c r="B328" t="s">
        <v>482</v>
      </c>
      <c r="E328" t="s">
        <v>1041</v>
      </c>
      <c r="G328" t="str">
        <f t="shared" si="6"/>
        <v>Heuchera americana var. hispida</v>
      </c>
      <c r="H328" t="str">
        <v>E1555</v>
      </c>
    </row>
    <row r="329" spans="1:8" x14ac:dyDescent="0.2">
      <c r="A329" t="s">
        <v>18</v>
      </c>
      <c r="B329" t="s">
        <v>483</v>
      </c>
      <c r="E329" t="s">
        <v>1041</v>
      </c>
      <c r="G329" t="str">
        <f t="shared" si="6"/>
        <v>Heuchera americana var. hispida</v>
      </c>
      <c r="H329" t="str">
        <v>E1556</v>
      </c>
    </row>
    <row r="330" spans="1:8" x14ac:dyDescent="0.2">
      <c r="A330" t="s">
        <v>18</v>
      </c>
      <c r="B330" t="s">
        <v>484</v>
      </c>
      <c r="E330" t="s">
        <v>1041</v>
      </c>
      <c r="G330" t="str">
        <f t="shared" si="6"/>
        <v>Heuchera americana var. hispida</v>
      </c>
      <c r="H330" t="str">
        <v>E1557</v>
      </c>
    </row>
    <row r="331" spans="1:8" x14ac:dyDescent="0.2">
      <c r="A331" t="s">
        <v>18</v>
      </c>
      <c r="B331" t="s">
        <v>485</v>
      </c>
      <c r="E331" t="s">
        <v>1041</v>
      </c>
      <c r="G331" t="str">
        <f t="shared" si="6"/>
        <v>Heuchera americana var. hispida</v>
      </c>
      <c r="H331" t="str">
        <v>E1558</v>
      </c>
    </row>
    <row r="332" spans="1:8" x14ac:dyDescent="0.2">
      <c r="A332" t="s">
        <v>18</v>
      </c>
      <c r="B332" t="s">
        <v>486</v>
      </c>
      <c r="E332" t="s">
        <v>1041</v>
      </c>
      <c r="G332" t="str">
        <f t="shared" si="6"/>
        <v>Heuchera americana var. hispida</v>
      </c>
      <c r="H332" t="str">
        <v>E1559</v>
      </c>
    </row>
    <row r="333" spans="1:8" x14ac:dyDescent="0.2">
      <c r="A333" t="s">
        <v>18</v>
      </c>
      <c r="B333" t="s">
        <v>487</v>
      </c>
      <c r="E333" t="s">
        <v>1041</v>
      </c>
      <c r="G333" t="str">
        <f t="shared" si="6"/>
        <v>Heuchera americana var. hispida</v>
      </c>
      <c r="H333" t="str">
        <v>E1560</v>
      </c>
    </row>
    <row r="334" spans="1:8" x14ac:dyDescent="0.2">
      <c r="A334" t="s">
        <v>18</v>
      </c>
      <c r="B334" t="s">
        <v>488</v>
      </c>
      <c r="E334" t="s">
        <v>1041</v>
      </c>
      <c r="G334" t="str">
        <f t="shared" si="6"/>
        <v>Heuchera americana var. hispida</v>
      </c>
      <c r="H334" t="str">
        <v>E1561</v>
      </c>
    </row>
    <row r="335" spans="1:8" x14ac:dyDescent="0.2">
      <c r="A335" t="s">
        <v>18</v>
      </c>
      <c r="B335" t="s">
        <v>489</v>
      </c>
      <c r="E335" t="s">
        <v>1041</v>
      </c>
      <c r="G335" t="str">
        <f t="shared" si="6"/>
        <v>Heuchera americana var. hispida</v>
      </c>
      <c r="H335" t="str">
        <v>E1562</v>
      </c>
    </row>
    <row r="336" spans="1:8" x14ac:dyDescent="0.2">
      <c r="A336" t="s">
        <v>18</v>
      </c>
      <c r="B336" t="s">
        <v>490</v>
      </c>
      <c r="E336" t="s">
        <v>1041</v>
      </c>
      <c r="G336" t="str">
        <f t="shared" si="6"/>
        <v>Heuchera americana var. hispida</v>
      </c>
      <c r="H336" t="str">
        <v>E1563</v>
      </c>
    </row>
    <row r="337" spans="1:8" x14ac:dyDescent="0.2">
      <c r="A337" t="s">
        <v>18</v>
      </c>
      <c r="B337" t="s">
        <v>491</v>
      </c>
      <c r="E337" t="s">
        <v>1041</v>
      </c>
      <c r="G337" t="str">
        <f t="shared" si="6"/>
        <v>Heuchera americana var. hispida</v>
      </c>
      <c r="H337" t="str">
        <v>E1564</v>
      </c>
    </row>
    <row r="338" spans="1:8" x14ac:dyDescent="0.2">
      <c r="A338" t="s">
        <v>18</v>
      </c>
      <c r="B338" t="s">
        <v>492</v>
      </c>
      <c r="E338" t="s">
        <v>1042</v>
      </c>
      <c r="G338" t="str">
        <f t="shared" si="6"/>
        <v>Heuchera americana var. hispida</v>
      </c>
      <c r="H338" t="str">
        <v>E1565</v>
      </c>
    </row>
    <row r="339" spans="1:8" x14ac:dyDescent="0.2">
      <c r="A339" t="s">
        <v>18</v>
      </c>
      <c r="B339" t="s">
        <v>493</v>
      </c>
      <c r="E339" t="s">
        <v>1042</v>
      </c>
      <c r="G339" t="str">
        <f t="shared" si="6"/>
        <v>Heuchera americana var. hispida</v>
      </c>
      <c r="H339" t="str">
        <v>E1566</v>
      </c>
    </row>
    <row r="340" spans="1:8" x14ac:dyDescent="0.2">
      <c r="A340" t="s">
        <v>18</v>
      </c>
      <c r="B340" t="s">
        <v>494</v>
      </c>
      <c r="E340" t="s">
        <v>1042</v>
      </c>
      <c r="G340" t="str">
        <f t="shared" si="6"/>
        <v>Heuchera americana var. hispida</v>
      </c>
      <c r="H340" t="str">
        <v>E1567</v>
      </c>
    </row>
    <row r="341" spans="1:8" x14ac:dyDescent="0.2">
      <c r="A341" t="s">
        <v>18</v>
      </c>
      <c r="B341" t="s">
        <v>495</v>
      </c>
      <c r="E341" t="s">
        <v>495</v>
      </c>
      <c r="G341" t="str">
        <f t="shared" si="6"/>
        <v>Heuchera americana var. hispida</v>
      </c>
      <c r="H341" t="str">
        <v>E1568</v>
      </c>
    </row>
    <row r="342" spans="1:8" x14ac:dyDescent="0.2">
      <c r="A342" t="s">
        <v>18</v>
      </c>
      <c r="B342" t="s">
        <v>497</v>
      </c>
      <c r="E342" t="s">
        <v>497</v>
      </c>
      <c r="G342" t="str">
        <f t="shared" si="6"/>
        <v>Heuchera americana var. hispida</v>
      </c>
      <c r="H342" t="str">
        <v>E1569</v>
      </c>
    </row>
    <row r="343" spans="1:8" x14ac:dyDescent="0.2">
      <c r="A343" t="s">
        <v>18</v>
      </c>
      <c r="B343" t="s">
        <v>498</v>
      </c>
      <c r="E343" t="s">
        <v>498</v>
      </c>
      <c r="G343" t="str">
        <f t="shared" si="6"/>
        <v>Heuchera americana var. hispida</v>
      </c>
      <c r="H343" t="str">
        <v>E1570</v>
      </c>
    </row>
    <row r="344" spans="1:8" x14ac:dyDescent="0.2">
      <c r="A344" t="s">
        <v>18</v>
      </c>
      <c r="B344" t="s">
        <v>499</v>
      </c>
      <c r="E344" t="s">
        <v>499</v>
      </c>
      <c r="G344" t="str">
        <f t="shared" si="6"/>
        <v>Heuchera americana var. hispida</v>
      </c>
      <c r="H344" t="str">
        <v>E1571</v>
      </c>
    </row>
    <row r="345" spans="1:8" x14ac:dyDescent="0.2">
      <c r="A345" t="s">
        <v>18</v>
      </c>
      <c r="B345" t="s">
        <v>500</v>
      </c>
      <c r="E345" t="s">
        <v>500</v>
      </c>
      <c r="G345" t="str">
        <f t="shared" si="6"/>
        <v>Heuchera americana var. hispida</v>
      </c>
      <c r="H345" t="str">
        <v>E1572</v>
      </c>
    </row>
    <row r="346" spans="1:8" x14ac:dyDescent="0.2">
      <c r="A346" t="s">
        <v>18</v>
      </c>
      <c r="B346" t="s">
        <v>501</v>
      </c>
      <c r="E346" t="s">
        <v>501</v>
      </c>
      <c r="G346" t="str">
        <f t="shared" si="6"/>
        <v>Heuchera americana var. hispida</v>
      </c>
      <c r="H346" t="str">
        <v>E1573</v>
      </c>
    </row>
    <row r="347" spans="1:8" x14ac:dyDescent="0.2">
      <c r="A347" t="s">
        <v>18</v>
      </c>
      <c r="B347" t="s">
        <v>503</v>
      </c>
      <c r="E347" t="s">
        <v>503</v>
      </c>
      <c r="G347" t="str">
        <f t="shared" si="6"/>
        <v>Heuchera americana var. hispida</v>
      </c>
      <c r="H347" t="str">
        <v>E1574</v>
      </c>
    </row>
    <row r="348" spans="1:8" x14ac:dyDescent="0.2">
      <c r="A348" t="s">
        <v>18</v>
      </c>
      <c r="B348" t="s">
        <v>504</v>
      </c>
      <c r="E348" t="s">
        <v>504</v>
      </c>
      <c r="G348" t="str">
        <f t="shared" si="6"/>
        <v>Heuchera americana var. hispida</v>
      </c>
      <c r="H348" t="str">
        <v>E1575</v>
      </c>
    </row>
    <row r="349" spans="1:8" x14ac:dyDescent="0.2">
      <c r="A349" t="s">
        <v>18</v>
      </c>
      <c r="B349" t="s">
        <v>505</v>
      </c>
      <c r="E349" t="s">
        <v>505</v>
      </c>
      <c r="G349" t="str">
        <f t="shared" si="6"/>
        <v>Heuchera americana var. hispida</v>
      </c>
      <c r="H349" t="str">
        <v>E1576</v>
      </c>
    </row>
    <row r="350" spans="1:8" x14ac:dyDescent="0.2">
      <c r="A350" t="s">
        <v>18</v>
      </c>
      <c r="B350" t="s">
        <v>506</v>
      </c>
      <c r="E350" t="s">
        <v>1043</v>
      </c>
      <c r="G350" t="str">
        <f t="shared" si="6"/>
        <v>Heuchera americana var. hispida</v>
      </c>
      <c r="H350" t="str">
        <v>E1677</v>
      </c>
    </row>
    <row r="351" spans="1:8" x14ac:dyDescent="0.2">
      <c r="A351" t="s">
        <v>18</v>
      </c>
      <c r="B351" t="s">
        <v>507</v>
      </c>
      <c r="E351" t="s">
        <v>1043</v>
      </c>
      <c r="G351" t="str">
        <f t="shared" si="6"/>
        <v>Heuchera americana var. hispida</v>
      </c>
      <c r="H351" t="str">
        <v>E1926</v>
      </c>
    </row>
    <row r="352" spans="1:8" x14ac:dyDescent="0.2">
      <c r="A352" t="s">
        <v>18</v>
      </c>
      <c r="B352" t="s">
        <v>508</v>
      </c>
      <c r="E352" t="s">
        <v>1043</v>
      </c>
      <c r="G352" t="str">
        <f t="shared" si="6"/>
        <v>Heuchera americana var. hispida</v>
      </c>
      <c r="H352" t="str">
        <v>E1927</v>
      </c>
    </row>
    <row r="353" spans="1:8" x14ac:dyDescent="0.2">
      <c r="A353" t="s">
        <v>18</v>
      </c>
      <c r="B353" t="s">
        <v>509</v>
      </c>
      <c r="E353" t="s">
        <v>1043</v>
      </c>
      <c r="G353" t="str">
        <f t="shared" si="6"/>
        <v>Heuchera americana var. hispida</v>
      </c>
      <c r="H353" t="str">
        <v>E1928</v>
      </c>
    </row>
    <row r="354" spans="1:8" x14ac:dyDescent="0.2">
      <c r="A354" t="s">
        <v>18</v>
      </c>
      <c r="B354" t="s">
        <v>510</v>
      </c>
      <c r="E354" t="s">
        <v>1043</v>
      </c>
      <c r="G354" t="str">
        <f t="shared" si="6"/>
        <v>Heuchera americana var. hispida</v>
      </c>
      <c r="H354" t="str">
        <v>H101</v>
      </c>
    </row>
    <row r="355" spans="1:8" x14ac:dyDescent="0.2">
      <c r="A355" t="s">
        <v>18</v>
      </c>
      <c r="B355" t="s">
        <v>511</v>
      </c>
      <c r="E355" t="s">
        <v>1043</v>
      </c>
      <c r="G355" t="str">
        <f t="shared" si="6"/>
        <v>Heuchera americana var. hispida</v>
      </c>
      <c r="H355" t="str">
        <v>H102</v>
      </c>
    </row>
    <row r="356" spans="1:8" x14ac:dyDescent="0.2">
      <c r="A356" t="s">
        <v>18</v>
      </c>
      <c r="B356" t="s">
        <v>512</v>
      </c>
      <c r="E356" t="s">
        <v>1044</v>
      </c>
      <c r="G356" t="str">
        <f t="shared" si="6"/>
        <v>Heuchera americana var. hispida</v>
      </c>
      <c r="H356" t="str">
        <v>H103</v>
      </c>
    </row>
    <row r="357" spans="1:8" x14ac:dyDescent="0.2">
      <c r="A357" t="s">
        <v>18</v>
      </c>
      <c r="B357" t="s">
        <v>513</v>
      </c>
      <c r="E357" t="s">
        <v>1044</v>
      </c>
      <c r="G357" t="str">
        <f t="shared" si="6"/>
        <v>Heuchera americana var. hispida</v>
      </c>
      <c r="H357" t="str">
        <v>H104</v>
      </c>
    </row>
    <row r="358" spans="1:8" x14ac:dyDescent="0.2">
      <c r="A358" t="s">
        <v>18</v>
      </c>
      <c r="B358" t="s">
        <v>514</v>
      </c>
      <c r="E358" t="s">
        <v>1044</v>
      </c>
      <c r="G358" t="str">
        <f t="shared" si="6"/>
        <v>Heuchera bracteata</v>
      </c>
      <c r="H358" t="str">
        <v>H164</v>
      </c>
    </row>
    <row r="359" spans="1:8" x14ac:dyDescent="0.2">
      <c r="A359" t="s">
        <v>18</v>
      </c>
      <c r="B359" t="s">
        <v>515</v>
      </c>
      <c r="E359" t="s">
        <v>1045</v>
      </c>
      <c r="G359" t="str">
        <f t="shared" si="6"/>
        <v>Heuchera caroliniana</v>
      </c>
      <c r="H359" t="str">
        <v>E1434</v>
      </c>
    </row>
    <row r="360" spans="1:8" x14ac:dyDescent="0.2">
      <c r="A360" t="s">
        <v>18</v>
      </c>
      <c r="B360" t="s">
        <v>516</v>
      </c>
      <c r="E360" t="s">
        <v>1045</v>
      </c>
      <c r="G360" t="str">
        <f t="shared" si="6"/>
        <v>Heuchera caroliniana</v>
      </c>
      <c r="H360" t="str">
        <v>E1435</v>
      </c>
    </row>
    <row r="361" spans="1:8" x14ac:dyDescent="0.2">
      <c r="A361" t="s">
        <v>18</v>
      </c>
      <c r="B361" t="s">
        <v>517</v>
      </c>
      <c r="E361" t="s">
        <v>1045</v>
      </c>
      <c r="G361" t="str">
        <f t="shared" si="6"/>
        <v>Heuchera caroliniana</v>
      </c>
      <c r="H361" t="str">
        <v>E1436</v>
      </c>
    </row>
    <row r="362" spans="1:8" x14ac:dyDescent="0.2">
      <c r="A362" t="s">
        <v>18</v>
      </c>
      <c r="B362" t="s">
        <v>518</v>
      </c>
      <c r="E362" t="s">
        <v>1045</v>
      </c>
      <c r="G362" t="str">
        <f t="shared" si="6"/>
        <v>Heuchera caroliniana</v>
      </c>
      <c r="H362" t="str">
        <v>E1438</v>
      </c>
    </row>
    <row r="363" spans="1:8" x14ac:dyDescent="0.2">
      <c r="A363" t="s">
        <v>18</v>
      </c>
      <c r="B363" t="s">
        <v>519</v>
      </c>
      <c r="E363" t="s">
        <v>1045</v>
      </c>
      <c r="G363" t="str">
        <f t="shared" si="6"/>
        <v>Heuchera caroliniana</v>
      </c>
      <c r="H363" t="str">
        <v>E1905</v>
      </c>
    </row>
    <row r="364" spans="1:8" x14ac:dyDescent="0.2">
      <c r="A364" t="s">
        <v>18</v>
      </c>
      <c r="B364" t="s">
        <v>520</v>
      </c>
      <c r="E364" t="s">
        <v>1045</v>
      </c>
      <c r="G364" t="str">
        <f t="shared" si="6"/>
        <v>Heuchera caroliniana</v>
      </c>
      <c r="H364" t="str">
        <v>E1911</v>
      </c>
    </row>
    <row r="365" spans="1:8" x14ac:dyDescent="0.2">
      <c r="A365" t="s">
        <v>18</v>
      </c>
      <c r="B365" t="s">
        <v>521</v>
      </c>
      <c r="E365" t="s">
        <v>1045</v>
      </c>
      <c r="G365" t="str">
        <f t="shared" si="6"/>
        <v>Heuchera caroliniana</v>
      </c>
      <c r="H365" t="str">
        <v>E1915</v>
      </c>
    </row>
    <row r="366" spans="1:8" x14ac:dyDescent="0.2">
      <c r="A366" t="s">
        <v>18</v>
      </c>
      <c r="B366" t="s">
        <v>522</v>
      </c>
      <c r="E366" t="s">
        <v>1045</v>
      </c>
      <c r="G366" t="str">
        <f t="shared" si="6"/>
        <v>Heuchera caroliniana</v>
      </c>
      <c r="H366" t="str">
        <v>E1921</v>
      </c>
    </row>
    <row r="367" spans="1:8" x14ac:dyDescent="0.2">
      <c r="A367" t="s">
        <v>18</v>
      </c>
      <c r="B367" t="s">
        <v>523</v>
      </c>
      <c r="E367" t="s">
        <v>1045</v>
      </c>
      <c r="G367" t="str">
        <f t="shared" si="6"/>
        <v>Heuchera caroliniana</v>
      </c>
      <c r="H367" t="str">
        <v>E1924</v>
      </c>
    </row>
    <row r="368" spans="1:8" x14ac:dyDescent="0.2">
      <c r="A368" t="s">
        <v>18</v>
      </c>
      <c r="B368" t="s">
        <v>524</v>
      </c>
      <c r="E368" t="s">
        <v>1045</v>
      </c>
      <c r="G368" t="str">
        <f t="shared" si="6"/>
        <v>Heuchera caroliniana</v>
      </c>
      <c r="H368" t="str">
        <v>E35</v>
      </c>
    </row>
    <row r="369" spans="1:8" x14ac:dyDescent="0.2">
      <c r="A369" t="s">
        <v>18</v>
      </c>
      <c r="B369" t="s">
        <v>525</v>
      </c>
      <c r="E369" t="s">
        <v>525</v>
      </c>
      <c r="G369" t="str">
        <f t="shared" si="6"/>
        <v>Heuchera caroliniana</v>
      </c>
      <c r="H369" t="str">
        <v>H216</v>
      </c>
    </row>
    <row r="370" spans="1:8" x14ac:dyDescent="0.2">
      <c r="A370" t="s">
        <v>526</v>
      </c>
      <c r="B370" t="s">
        <v>527</v>
      </c>
      <c r="E370" t="s">
        <v>1046</v>
      </c>
      <c r="G370" t="str">
        <f t="shared" si="6"/>
        <v>Heuchera caroliniana</v>
      </c>
      <c r="H370" t="str">
        <v>Heuchera caroliniana</v>
      </c>
    </row>
    <row r="371" spans="1:8" x14ac:dyDescent="0.2">
      <c r="A371" t="s">
        <v>526</v>
      </c>
      <c r="B371" t="s">
        <v>529</v>
      </c>
      <c r="E371" t="s">
        <v>1046</v>
      </c>
      <c r="G371" t="str">
        <f t="shared" si="6"/>
        <v>Heuchera cylindrica var. glabella</v>
      </c>
      <c r="H371" t="str">
        <v>H115</v>
      </c>
    </row>
    <row r="372" spans="1:8" x14ac:dyDescent="0.2">
      <c r="A372" t="s">
        <v>526</v>
      </c>
      <c r="B372" t="s">
        <v>530</v>
      </c>
      <c r="E372" t="s">
        <v>1046</v>
      </c>
      <c r="G372" t="str">
        <f t="shared" si="6"/>
        <v>Heuchera eastwoodiae</v>
      </c>
      <c r="H372" t="str">
        <v>H35</v>
      </c>
    </row>
    <row r="373" spans="1:8" x14ac:dyDescent="0.2">
      <c r="A373" t="s">
        <v>526</v>
      </c>
      <c r="B373" t="s">
        <v>531</v>
      </c>
      <c r="E373" t="s">
        <v>1046</v>
      </c>
      <c r="G373" t="str">
        <f t="shared" si="6"/>
        <v>Heuchera elegans</v>
      </c>
      <c r="H373" t="str">
        <v>H44</v>
      </c>
    </row>
    <row r="374" spans="1:8" x14ac:dyDescent="0.2">
      <c r="A374" t="s">
        <v>526</v>
      </c>
      <c r="B374" t="s">
        <v>532</v>
      </c>
      <c r="E374" t="s">
        <v>1046</v>
      </c>
      <c r="G374" t="str">
        <f t="shared" si="6"/>
        <v>Heuchera glabra</v>
      </c>
      <c r="H374" t="str">
        <v>H137</v>
      </c>
    </row>
    <row r="375" spans="1:8" x14ac:dyDescent="0.2">
      <c r="A375" t="s">
        <v>526</v>
      </c>
      <c r="B375" t="s">
        <v>533</v>
      </c>
      <c r="E375" t="s">
        <v>1046</v>
      </c>
      <c r="G375" t="str">
        <f t="shared" si="6"/>
        <v>Heuchera glomerulata</v>
      </c>
      <c r="H375" t="str">
        <v>A22</v>
      </c>
    </row>
    <row r="376" spans="1:8" x14ac:dyDescent="0.2">
      <c r="A376" t="s">
        <v>526</v>
      </c>
      <c r="B376" t="s">
        <v>534</v>
      </c>
      <c r="E376" t="s">
        <v>1046</v>
      </c>
      <c r="G376" t="str">
        <f t="shared" si="6"/>
        <v>Heuchera inconstans</v>
      </c>
      <c r="H376" t="str">
        <v>H33</v>
      </c>
    </row>
    <row r="377" spans="1:8" x14ac:dyDescent="0.2">
      <c r="A377" t="s">
        <v>526</v>
      </c>
      <c r="B377" t="s">
        <v>535</v>
      </c>
      <c r="E377" t="s">
        <v>1046</v>
      </c>
      <c r="G377" t="str">
        <f t="shared" si="6"/>
        <v>Heuchera inconstans</v>
      </c>
      <c r="H377" t="str">
        <v>I90</v>
      </c>
    </row>
    <row r="378" spans="1:8" x14ac:dyDescent="0.2">
      <c r="A378" t="s">
        <v>526</v>
      </c>
      <c r="B378" t="s">
        <v>536</v>
      </c>
      <c r="E378" t="s">
        <v>1046</v>
      </c>
      <c r="G378" t="str">
        <f t="shared" si="6"/>
        <v>Heuchera longiflora var. aceroides</v>
      </c>
      <c r="H378" t="str">
        <v>L1</v>
      </c>
    </row>
    <row r="379" spans="1:8" x14ac:dyDescent="0.2">
      <c r="A379" t="s">
        <v>526</v>
      </c>
      <c r="B379" t="s">
        <v>537</v>
      </c>
      <c r="E379" t="s">
        <v>537</v>
      </c>
      <c r="G379" t="str">
        <f t="shared" si="6"/>
        <v>Heuchera longiflora var. aceroides</v>
      </c>
      <c r="H379" t="str">
        <v>L3</v>
      </c>
    </row>
    <row r="380" spans="1:8" x14ac:dyDescent="0.2">
      <c r="A380" t="s">
        <v>526</v>
      </c>
      <c r="B380" t="s">
        <v>538</v>
      </c>
      <c r="E380" t="s">
        <v>538</v>
      </c>
      <c r="G380" t="str">
        <f t="shared" si="6"/>
        <v>Heuchera longiflora var. longiflora</v>
      </c>
      <c r="H380" t="str">
        <v>FL</v>
      </c>
    </row>
    <row r="381" spans="1:8" x14ac:dyDescent="0.2">
      <c r="A381" t="s">
        <v>526</v>
      </c>
      <c r="B381" t="s">
        <v>539</v>
      </c>
      <c r="E381" t="s">
        <v>1047</v>
      </c>
      <c r="G381" t="str">
        <f t="shared" si="6"/>
        <v>Heuchera longiflora var. longiflora</v>
      </c>
      <c r="H381" t="str">
        <v>L14</v>
      </c>
    </row>
    <row r="382" spans="1:8" x14ac:dyDescent="0.2">
      <c r="A382" t="s">
        <v>526</v>
      </c>
      <c r="B382" t="s">
        <v>540</v>
      </c>
      <c r="E382" t="s">
        <v>1047</v>
      </c>
      <c r="G382" t="str">
        <f t="shared" si="6"/>
        <v>Heuchera longiflora var. longiflora</v>
      </c>
      <c r="H382" t="str">
        <v>L20</v>
      </c>
    </row>
    <row r="383" spans="1:8" x14ac:dyDescent="0.2">
      <c r="A383" t="s">
        <v>526</v>
      </c>
      <c r="B383" t="s">
        <v>541</v>
      </c>
      <c r="E383" t="s">
        <v>1047</v>
      </c>
      <c r="G383" t="str">
        <f t="shared" si="6"/>
        <v>Heuchera longiflora var. longiflora</v>
      </c>
      <c r="H383" t="str">
        <v>L6</v>
      </c>
    </row>
    <row r="384" spans="1:8" x14ac:dyDescent="0.2">
      <c r="A384" t="s">
        <v>526</v>
      </c>
      <c r="B384" t="s">
        <v>542</v>
      </c>
      <c r="E384" t="s">
        <v>1047</v>
      </c>
      <c r="G384" t="str">
        <f t="shared" si="6"/>
        <v>Heuchera longiflora var. longiflora</v>
      </c>
      <c r="H384" t="str">
        <v>L9</v>
      </c>
    </row>
    <row r="385" spans="1:8" x14ac:dyDescent="0.2">
      <c r="A385" t="s">
        <v>526</v>
      </c>
      <c r="B385" t="s">
        <v>543</v>
      </c>
      <c r="E385" t="s">
        <v>1047</v>
      </c>
      <c r="G385" t="str">
        <f t="shared" si="6"/>
        <v>Heuchera longipetala var. longipetala</v>
      </c>
      <c r="H385" t="str">
        <v>I21</v>
      </c>
    </row>
    <row r="386" spans="1:8" x14ac:dyDescent="0.2">
      <c r="A386" t="s">
        <v>526</v>
      </c>
      <c r="B386" t="s">
        <v>544</v>
      </c>
      <c r="E386" t="s">
        <v>1047</v>
      </c>
      <c r="G386" t="str">
        <f t="shared" si="6"/>
        <v>Heuchera maxima</v>
      </c>
      <c r="H386" t="str">
        <v>I6</v>
      </c>
    </row>
    <row r="387" spans="1:8" x14ac:dyDescent="0.2">
      <c r="A387" t="s">
        <v>526</v>
      </c>
      <c r="B387" t="s">
        <v>545</v>
      </c>
      <c r="E387" t="s">
        <v>1047</v>
      </c>
      <c r="G387" t="str">
        <f t="shared" ref="G387:G450" si="7">IF(H387&lt;&gt;"", INDEX(A:A, MATCH(H387, E:E, 0)), "NA")</f>
        <v>Heuchera mexicana var. mexicana</v>
      </c>
      <c r="H387" t="str">
        <v>I51</v>
      </c>
    </row>
    <row r="388" spans="1:8" x14ac:dyDescent="0.2">
      <c r="A388" t="s">
        <v>526</v>
      </c>
      <c r="B388" t="s">
        <v>546</v>
      </c>
      <c r="E388" t="s">
        <v>1047</v>
      </c>
      <c r="G388" t="str">
        <f t="shared" si="7"/>
        <v>Heuchera micrantha var. macropetala</v>
      </c>
      <c r="H388" t="str">
        <v>H146</v>
      </c>
    </row>
    <row r="389" spans="1:8" x14ac:dyDescent="0.2">
      <c r="A389" t="s">
        <v>526</v>
      </c>
      <c r="B389" t="s">
        <v>547</v>
      </c>
      <c r="E389" t="s">
        <v>1047</v>
      </c>
      <c r="G389" t="str">
        <f t="shared" si="7"/>
        <v>Heuchera missouriensis</v>
      </c>
      <c r="H389" t="str">
        <v>A37</v>
      </c>
    </row>
    <row r="390" spans="1:8" x14ac:dyDescent="0.2">
      <c r="A390" t="s">
        <v>526</v>
      </c>
      <c r="B390" t="s">
        <v>548</v>
      </c>
      <c r="E390" t="s">
        <v>1047</v>
      </c>
      <c r="G390" t="str">
        <f t="shared" si="7"/>
        <v>Heuchera novomexicana</v>
      </c>
      <c r="H390" t="str">
        <v>H24</v>
      </c>
    </row>
    <row r="391" spans="1:8" x14ac:dyDescent="0.2">
      <c r="A391" t="s">
        <v>526</v>
      </c>
      <c r="B391" t="s">
        <v>549</v>
      </c>
      <c r="E391" t="s">
        <v>1048</v>
      </c>
      <c r="G391" t="str">
        <f t="shared" si="7"/>
        <v>Heuchera parviflora var. parviflora</v>
      </c>
      <c r="H391" t="str">
        <v>H170</v>
      </c>
    </row>
    <row r="392" spans="1:8" x14ac:dyDescent="0.2">
      <c r="A392" t="s">
        <v>526</v>
      </c>
      <c r="B392" t="s">
        <v>550</v>
      </c>
      <c r="E392" t="s">
        <v>1048</v>
      </c>
      <c r="G392" t="str">
        <f t="shared" si="7"/>
        <v>Heuchera parvifolia</v>
      </c>
      <c r="H392" t="str">
        <v>H107</v>
      </c>
    </row>
    <row r="393" spans="1:8" x14ac:dyDescent="0.2">
      <c r="A393" t="s">
        <v>526</v>
      </c>
      <c r="B393" t="s">
        <v>551</v>
      </c>
      <c r="E393" t="s">
        <v>1049</v>
      </c>
      <c r="G393" t="str">
        <f t="shared" si="7"/>
        <v>Heuchera puberula</v>
      </c>
      <c r="H393" t="str">
        <v>H181</v>
      </c>
    </row>
    <row r="394" spans="1:8" x14ac:dyDescent="0.2">
      <c r="A394" t="s">
        <v>526</v>
      </c>
      <c r="B394" t="s">
        <v>552</v>
      </c>
      <c r="E394" t="s">
        <v>1049</v>
      </c>
      <c r="G394" t="str">
        <f t="shared" si="7"/>
        <v>Heuchera pubescens</v>
      </c>
      <c r="H394" t="str">
        <v>E1497</v>
      </c>
    </row>
    <row r="395" spans="1:8" x14ac:dyDescent="0.2">
      <c r="A395" t="s">
        <v>526</v>
      </c>
      <c r="B395" t="s">
        <v>553</v>
      </c>
      <c r="E395" t="s">
        <v>1049</v>
      </c>
      <c r="G395" t="str">
        <f t="shared" si="7"/>
        <v>Heuchera pubescens</v>
      </c>
      <c r="H395" t="str">
        <v>E1596</v>
      </c>
    </row>
    <row r="396" spans="1:8" x14ac:dyDescent="0.2">
      <c r="A396" t="s">
        <v>526</v>
      </c>
      <c r="B396" t="s">
        <v>554</v>
      </c>
      <c r="E396" t="s">
        <v>1049</v>
      </c>
      <c r="G396" t="str">
        <f t="shared" si="7"/>
        <v>Heuchera pubescens</v>
      </c>
      <c r="H396" t="str">
        <v>E1598</v>
      </c>
    </row>
    <row r="397" spans="1:8" x14ac:dyDescent="0.2">
      <c r="A397" t="s">
        <v>526</v>
      </c>
      <c r="B397" t="s">
        <v>555</v>
      </c>
      <c r="E397" t="s">
        <v>1049</v>
      </c>
      <c r="G397" t="str">
        <f t="shared" si="7"/>
        <v>Heuchera pubescens</v>
      </c>
      <c r="H397" t="str">
        <v>E1599</v>
      </c>
    </row>
    <row r="398" spans="1:8" x14ac:dyDescent="0.2">
      <c r="A398" t="s">
        <v>526</v>
      </c>
      <c r="B398" t="s">
        <v>556</v>
      </c>
      <c r="E398" t="s">
        <v>1049</v>
      </c>
      <c r="G398" t="str">
        <f t="shared" si="7"/>
        <v>Heuchera pubescens</v>
      </c>
      <c r="H398" t="str">
        <v>E1600</v>
      </c>
    </row>
    <row r="399" spans="1:8" x14ac:dyDescent="0.2">
      <c r="A399" t="s">
        <v>526</v>
      </c>
      <c r="B399" t="s">
        <v>557</v>
      </c>
      <c r="E399" t="s">
        <v>1049</v>
      </c>
      <c r="G399" t="str">
        <f t="shared" si="7"/>
        <v>Heuchera pubescens</v>
      </c>
      <c r="H399" t="str">
        <v>E1601</v>
      </c>
    </row>
    <row r="400" spans="1:8" x14ac:dyDescent="0.2">
      <c r="A400" t="s">
        <v>526</v>
      </c>
      <c r="B400" t="s">
        <v>558</v>
      </c>
      <c r="E400" t="s">
        <v>1049</v>
      </c>
      <c r="G400" t="str">
        <f t="shared" si="7"/>
        <v>Heuchera pubescens</v>
      </c>
      <c r="H400" t="str">
        <v>E1602</v>
      </c>
    </row>
    <row r="401" spans="1:8" x14ac:dyDescent="0.2">
      <c r="A401" t="s">
        <v>526</v>
      </c>
      <c r="B401" t="s">
        <v>559</v>
      </c>
      <c r="E401" t="s">
        <v>1049</v>
      </c>
      <c r="G401" t="str">
        <f t="shared" si="7"/>
        <v>Heuchera pubescens</v>
      </c>
      <c r="H401" t="str">
        <v>E1603</v>
      </c>
    </row>
    <row r="402" spans="1:8" x14ac:dyDescent="0.2">
      <c r="A402" t="s">
        <v>526</v>
      </c>
      <c r="B402" t="s">
        <v>560</v>
      </c>
      <c r="E402" t="s">
        <v>1049</v>
      </c>
      <c r="G402" t="str">
        <f t="shared" si="7"/>
        <v>Heuchera pubescens</v>
      </c>
      <c r="H402" t="str">
        <v>E1936</v>
      </c>
    </row>
    <row r="403" spans="1:8" x14ac:dyDescent="0.2">
      <c r="A403" t="s">
        <v>526</v>
      </c>
      <c r="B403" t="s">
        <v>561</v>
      </c>
      <c r="E403" t="s">
        <v>1049</v>
      </c>
      <c r="G403" t="str">
        <f t="shared" si="7"/>
        <v>Heuchera pubescens</v>
      </c>
      <c r="H403" t="str">
        <v>H100</v>
      </c>
    </row>
    <row r="404" spans="1:8" x14ac:dyDescent="0.2">
      <c r="A404" t="s">
        <v>526</v>
      </c>
      <c r="B404" t="s">
        <v>562</v>
      </c>
      <c r="E404" t="s">
        <v>562</v>
      </c>
      <c r="G404" t="str">
        <f t="shared" si="7"/>
        <v>Heuchera pubescens</v>
      </c>
      <c r="H404" t="str">
        <v>H96</v>
      </c>
    </row>
    <row r="405" spans="1:8" x14ac:dyDescent="0.2">
      <c r="A405" t="s">
        <v>526</v>
      </c>
      <c r="B405" t="s">
        <v>563</v>
      </c>
      <c r="E405" t="s">
        <v>562</v>
      </c>
      <c r="G405" t="str">
        <f t="shared" si="7"/>
        <v>Heuchera richardsonii</v>
      </c>
      <c r="H405" t="str">
        <v>A15</v>
      </c>
    </row>
    <row r="406" spans="1:8" x14ac:dyDescent="0.2">
      <c r="A406" t="s">
        <v>526</v>
      </c>
      <c r="B406" t="s">
        <v>564</v>
      </c>
      <c r="E406" t="s">
        <v>562</v>
      </c>
      <c r="G406" t="str">
        <f t="shared" si="7"/>
        <v>Heuchera richardsonii</v>
      </c>
      <c r="H406" t="str">
        <v>A16</v>
      </c>
    </row>
    <row r="407" spans="1:8" x14ac:dyDescent="0.2">
      <c r="A407" t="s">
        <v>526</v>
      </c>
      <c r="B407" t="s">
        <v>565</v>
      </c>
      <c r="E407" t="s">
        <v>1050</v>
      </c>
      <c r="G407" t="str">
        <f t="shared" si="7"/>
        <v>Heuchera richardsonii</v>
      </c>
      <c r="H407" t="str">
        <v>A17</v>
      </c>
    </row>
    <row r="408" spans="1:8" x14ac:dyDescent="0.2">
      <c r="A408" t="s">
        <v>526</v>
      </c>
      <c r="B408" t="s">
        <v>567</v>
      </c>
      <c r="E408" t="s">
        <v>1050</v>
      </c>
      <c r="G408" t="str">
        <f t="shared" si="7"/>
        <v>Heuchera richardsonii</v>
      </c>
      <c r="H408" t="str">
        <v>A21</v>
      </c>
    </row>
    <row r="409" spans="1:8" x14ac:dyDescent="0.2">
      <c r="A409" t="s">
        <v>526</v>
      </c>
      <c r="B409" t="s">
        <v>568</v>
      </c>
      <c r="E409" t="s">
        <v>1050</v>
      </c>
      <c r="G409" t="str">
        <f t="shared" si="7"/>
        <v>Heuchera richardsonii</v>
      </c>
      <c r="H409" t="str">
        <v>A42</v>
      </c>
    </row>
    <row r="410" spans="1:8" x14ac:dyDescent="0.2">
      <c r="A410" t="s">
        <v>526</v>
      </c>
      <c r="B410" t="s">
        <v>569</v>
      </c>
      <c r="E410" t="s">
        <v>1051</v>
      </c>
      <c r="G410" t="str">
        <f t="shared" si="7"/>
        <v>Heuchera richardsonii</v>
      </c>
      <c r="H410" t="str">
        <v>A43</v>
      </c>
    </row>
    <row r="411" spans="1:8" x14ac:dyDescent="0.2">
      <c r="A411" t="s">
        <v>526</v>
      </c>
      <c r="B411" t="s">
        <v>570</v>
      </c>
      <c r="E411" t="s">
        <v>1051</v>
      </c>
      <c r="G411" t="str">
        <f t="shared" si="7"/>
        <v>Heuchera richardsonii</v>
      </c>
      <c r="H411" t="str">
        <v>A44</v>
      </c>
    </row>
    <row r="412" spans="1:8" x14ac:dyDescent="0.2">
      <c r="A412" t="s">
        <v>526</v>
      </c>
      <c r="B412" t="s">
        <v>571</v>
      </c>
      <c r="E412" t="s">
        <v>1051</v>
      </c>
      <c r="G412" t="str">
        <f t="shared" si="7"/>
        <v>Heuchera richardsonii</v>
      </c>
      <c r="H412" t="str">
        <v>E1780</v>
      </c>
    </row>
    <row r="413" spans="1:8" x14ac:dyDescent="0.2">
      <c r="A413" t="s">
        <v>526</v>
      </c>
      <c r="B413" t="s">
        <v>572</v>
      </c>
      <c r="E413" t="s">
        <v>1051</v>
      </c>
      <c r="G413" t="str">
        <f t="shared" si="7"/>
        <v>Heuchera richardsonii</v>
      </c>
      <c r="H413" t="str">
        <v>E1781</v>
      </c>
    </row>
    <row r="414" spans="1:8" x14ac:dyDescent="0.2">
      <c r="A414" t="s">
        <v>526</v>
      </c>
      <c r="B414" t="s">
        <v>573</v>
      </c>
      <c r="E414" t="s">
        <v>1051</v>
      </c>
      <c r="G414" t="str">
        <f t="shared" si="7"/>
        <v>Heuchera richardsonii</v>
      </c>
      <c r="H414" t="str">
        <v>E1782</v>
      </c>
    </row>
    <row r="415" spans="1:8" x14ac:dyDescent="0.2">
      <c r="A415" t="s">
        <v>526</v>
      </c>
      <c r="B415" t="s">
        <v>574</v>
      </c>
      <c r="E415" t="s">
        <v>1051</v>
      </c>
      <c r="G415" t="str">
        <f t="shared" si="7"/>
        <v>Heuchera richardsonii</v>
      </c>
      <c r="H415" t="str">
        <v>E1783</v>
      </c>
    </row>
    <row r="416" spans="1:8" x14ac:dyDescent="0.2">
      <c r="A416" t="s">
        <v>526</v>
      </c>
      <c r="B416" t="s">
        <v>575</v>
      </c>
      <c r="E416" t="s">
        <v>1051</v>
      </c>
      <c r="G416" t="str">
        <f t="shared" si="7"/>
        <v>Heuchera richardsonii</v>
      </c>
      <c r="H416" t="str">
        <v>E1784</v>
      </c>
    </row>
    <row r="417" spans="1:8" x14ac:dyDescent="0.2">
      <c r="A417" t="s">
        <v>526</v>
      </c>
      <c r="B417" t="s">
        <v>576</v>
      </c>
      <c r="E417" t="s">
        <v>1051</v>
      </c>
      <c r="G417" t="str">
        <f t="shared" si="7"/>
        <v>Heuchera richardsonii</v>
      </c>
      <c r="H417" t="str">
        <v>E1785</v>
      </c>
    </row>
    <row r="418" spans="1:8" x14ac:dyDescent="0.2">
      <c r="A418" t="s">
        <v>526</v>
      </c>
      <c r="B418" t="s">
        <v>577</v>
      </c>
      <c r="E418" t="s">
        <v>1051</v>
      </c>
      <c r="G418" t="str">
        <f t="shared" si="7"/>
        <v>Heuchera richardsonii</v>
      </c>
      <c r="H418" t="str">
        <v>E1786</v>
      </c>
    </row>
    <row r="419" spans="1:8" x14ac:dyDescent="0.2">
      <c r="A419" t="s">
        <v>526</v>
      </c>
      <c r="B419" t="s">
        <v>578</v>
      </c>
      <c r="E419" t="s">
        <v>1051</v>
      </c>
      <c r="G419" t="str">
        <f t="shared" si="7"/>
        <v>Heuchera richardsonii</v>
      </c>
      <c r="H419" t="str">
        <v>E1787</v>
      </c>
    </row>
    <row r="420" spans="1:8" x14ac:dyDescent="0.2">
      <c r="A420" t="s">
        <v>526</v>
      </c>
      <c r="B420" t="s">
        <v>579</v>
      </c>
      <c r="E420" t="s">
        <v>1052</v>
      </c>
      <c r="G420" t="str">
        <f t="shared" si="7"/>
        <v>Heuchera richardsonii</v>
      </c>
      <c r="H420" t="str">
        <v>E1788</v>
      </c>
    </row>
    <row r="421" spans="1:8" x14ac:dyDescent="0.2">
      <c r="A421" t="s">
        <v>526</v>
      </c>
      <c r="B421" t="s">
        <v>580</v>
      </c>
      <c r="E421" t="s">
        <v>1052</v>
      </c>
      <c r="G421" t="str">
        <f t="shared" si="7"/>
        <v>Heuchera richardsonii</v>
      </c>
      <c r="H421" t="str">
        <v>E1789</v>
      </c>
    </row>
    <row r="422" spans="1:8" x14ac:dyDescent="0.2">
      <c r="A422" t="s">
        <v>526</v>
      </c>
      <c r="B422" t="s">
        <v>581</v>
      </c>
      <c r="E422" t="s">
        <v>1052</v>
      </c>
      <c r="G422" t="str">
        <f t="shared" si="7"/>
        <v>Heuchera richardsonii</v>
      </c>
      <c r="H422" t="str">
        <v>E1790</v>
      </c>
    </row>
    <row r="423" spans="1:8" x14ac:dyDescent="0.2">
      <c r="A423" t="s">
        <v>526</v>
      </c>
      <c r="B423" t="s">
        <v>582</v>
      </c>
      <c r="E423" t="s">
        <v>1052</v>
      </c>
      <c r="G423" t="str">
        <f t="shared" si="7"/>
        <v>Heuchera richardsonii</v>
      </c>
      <c r="H423" t="str">
        <v>E1791</v>
      </c>
    </row>
    <row r="424" spans="1:8" x14ac:dyDescent="0.2">
      <c r="A424" t="s">
        <v>526</v>
      </c>
      <c r="B424" t="s">
        <v>583</v>
      </c>
      <c r="E424" t="s">
        <v>1052</v>
      </c>
      <c r="G424" t="str">
        <f t="shared" si="7"/>
        <v>Heuchera richardsonii</v>
      </c>
      <c r="H424" t="str">
        <v>E1792</v>
      </c>
    </row>
    <row r="425" spans="1:8" x14ac:dyDescent="0.2">
      <c r="A425" t="s">
        <v>526</v>
      </c>
      <c r="B425" t="s">
        <v>584</v>
      </c>
      <c r="E425" t="s">
        <v>1052</v>
      </c>
      <c r="G425" t="str">
        <f t="shared" si="7"/>
        <v>Heuchera richardsonii</v>
      </c>
      <c r="H425" t="str">
        <v>E1793</v>
      </c>
    </row>
    <row r="426" spans="1:8" x14ac:dyDescent="0.2">
      <c r="A426" t="s">
        <v>526</v>
      </c>
      <c r="B426" t="s">
        <v>585</v>
      </c>
      <c r="E426" t="s">
        <v>1052</v>
      </c>
      <c r="G426" t="str">
        <f t="shared" si="7"/>
        <v>Heuchera richardsonii</v>
      </c>
      <c r="H426" t="str">
        <v>E1794</v>
      </c>
    </row>
    <row r="427" spans="1:8" x14ac:dyDescent="0.2">
      <c r="A427" t="s">
        <v>526</v>
      </c>
      <c r="B427" t="s">
        <v>586</v>
      </c>
      <c r="E427" t="s">
        <v>1052</v>
      </c>
      <c r="G427" t="str">
        <f t="shared" si="7"/>
        <v>Heuchera richardsonii</v>
      </c>
      <c r="H427" t="str">
        <v>E1795</v>
      </c>
    </row>
    <row r="428" spans="1:8" x14ac:dyDescent="0.2">
      <c r="A428" t="s">
        <v>526</v>
      </c>
      <c r="B428" t="s">
        <v>587</v>
      </c>
      <c r="E428" t="s">
        <v>1053</v>
      </c>
      <c r="G428" t="str">
        <f t="shared" si="7"/>
        <v>Heuchera richardsonii</v>
      </c>
      <c r="H428" t="str">
        <v>E1796</v>
      </c>
    </row>
    <row r="429" spans="1:8" x14ac:dyDescent="0.2">
      <c r="A429" t="s">
        <v>526</v>
      </c>
      <c r="B429" t="s">
        <v>588</v>
      </c>
      <c r="E429" t="s">
        <v>1053</v>
      </c>
      <c r="G429" t="str">
        <f t="shared" si="7"/>
        <v>Heuchera richardsonii</v>
      </c>
      <c r="H429" t="str">
        <v>E1797</v>
      </c>
    </row>
    <row r="430" spans="1:8" x14ac:dyDescent="0.2">
      <c r="A430" t="s">
        <v>526</v>
      </c>
      <c r="B430" t="s">
        <v>589</v>
      </c>
      <c r="E430" t="s">
        <v>1053</v>
      </c>
      <c r="G430" t="str">
        <f t="shared" si="7"/>
        <v>Heuchera richardsonii</v>
      </c>
      <c r="H430" t="str">
        <v>E1798</v>
      </c>
    </row>
    <row r="431" spans="1:8" x14ac:dyDescent="0.2">
      <c r="A431" t="s">
        <v>526</v>
      </c>
      <c r="B431" t="s">
        <v>590</v>
      </c>
      <c r="E431" t="s">
        <v>1053</v>
      </c>
      <c r="G431" t="str">
        <f t="shared" si="7"/>
        <v>Heuchera richardsonii</v>
      </c>
      <c r="H431" t="str">
        <v>E1799</v>
      </c>
    </row>
    <row r="432" spans="1:8" x14ac:dyDescent="0.2">
      <c r="A432" t="s">
        <v>526</v>
      </c>
      <c r="B432" t="s">
        <v>591</v>
      </c>
      <c r="E432" t="s">
        <v>1053</v>
      </c>
      <c r="G432" t="str">
        <f t="shared" si="7"/>
        <v>Heuchera richardsonii</v>
      </c>
      <c r="H432" t="str">
        <v>E1800</v>
      </c>
    </row>
    <row r="433" spans="1:8" x14ac:dyDescent="0.2">
      <c r="A433" t="s">
        <v>526</v>
      </c>
      <c r="B433" t="s">
        <v>592</v>
      </c>
      <c r="E433" t="s">
        <v>592</v>
      </c>
      <c r="G433" t="str">
        <f t="shared" si="7"/>
        <v>Heuchera richardsonii</v>
      </c>
      <c r="H433" t="str">
        <v>E1801</v>
      </c>
    </row>
    <row r="434" spans="1:8" x14ac:dyDescent="0.2">
      <c r="A434" t="s">
        <v>526</v>
      </c>
      <c r="B434" t="s">
        <v>593</v>
      </c>
      <c r="E434" t="s">
        <v>1054</v>
      </c>
      <c r="G434" t="str">
        <f t="shared" si="7"/>
        <v>Heuchera richardsonii</v>
      </c>
      <c r="H434" t="str">
        <v>E1802</v>
      </c>
    </row>
    <row r="435" spans="1:8" x14ac:dyDescent="0.2">
      <c r="A435" t="s">
        <v>526</v>
      </c>
      <c r="B435" t="s">
        <v>594</v>
      </c>
      <c r="E435" t="s">
        <v>1054</v>
      </c>
      <c r="G435" t="str">
        <f t="shared" si="7"/>
        <v>Heuchera richardsonii</v>
      </c>
      <c r="H435" t="str">
        <v>E1803</v>
      </c>
    </row>
    <row r="436" spans="1:8" x14ac:dyDescent="0.2">
      <c r="A436" t="s">
        <v>526</v>
      </c>
      <c r="B436" t="s">
        <v>595</v>
      </c>
      <c r="E436" t="s">
        <v>1054</v>
      </c>
      <c r="G436" t="str">
        <f t="shared" si="7"/>
        <v>Heuchera richardsonii</v>
      </c>
      <c r="H436" t="str">
        <v>E1804</v>
      </c>
    </row>
    <row r="437" spans="1:8" x14ac:dyDescent="0.2">
      <c r="A437" t="s">
        <v>526</v>
      </c>
      <c r="B437" t="s">
        <v>596</v>
      </c>
      <c r="E437" t="s">
        <v>1054</v>
      </c>
      <c r="G437" t="str">
        <f t="shared" si="7"/>
        <v>Heuchera richardsonii</v>
      </c>
      <c r="H437" t="str">
        <v>E1805</v>
      </c>
    </row>
    <row r="438" spans="1:8" x14ac:dyDescent="0.2">
      <c r="A438" t="s">
        <v>526</v>
      </c>
      <c r="B438" t="s">
        <v>597</v>
      </c>
      <c r="E438" t="s">
        <v>1054</v>
      </c>
      <c r="G438" t="str">
        <f t="shared" si="7"/>
        <v>Heuchera richardsonii</v>
      </c>
      <c r="H438" t="str">
        <v>E542</v>
      </c>
    </row>
    <row r="439" spans="1:8" x14ac:dyDescent="0.2">
      <c r="A439" t="s">
        <v>526</v>
      </c>
      <c r="B439" t="s">
        <v>598</v>
      </c>
      <c r="E439" t="s">
        <v>1054</v>
      </c>
      <c r="G439" t="str">
        <f t="shared" si="7"/>
        <v>Heuchera richardsonii</v>
      </c>
      <c r="H439" t="str">
        <v>E543</v>
      </c>
    </row>
    <row r="440" spans="1:8" x14ac:dyDescent="0.2">
      <c r="A440" t="s">
        <v>526</v>
      </c>
      <c r="B440" t="s">
        <v>599</v>
      </c>
      <c r="E440" t="s">
        <v>1054</v>
      </c>
      <c r="G440" t="str">
        <f t="shared" si="7"/>
        <v>Heuchera richardsonii</v>
      </c>
      <c r="H440" t="str">
        <v>E544</v>
      </c>
    </row>
    <row r="441" spans="1:8" x14ac:dyDescent="0.2">
      <c r="A441" t="s">
        <v>526</v>
      </c>
      <c r="B441" t="s">
        <v>600</v>
      </c>
      <c r="E441" t="s">
        <v>1054</v>
      </c>
      <c r="G441" t="str">
        <f t="shared" si="7"/>
        <v>Heuchera richardsonii</v>
      </c>
      <c r="H441" t="str">
        <v>E639</v>
      </c>
    </row>
    <row r="442" spans="1:8" x14ac:dyDescent="0.2">
      <c r="A442" t="s">
        <v>526</v>
      </c>
      <c r="B442" t="s">
        <v>601</v>
      </c>
      <c r="E442" t="s">
        <v>1054</v>
      </c>
      <c r="G442" t="str">
        <f t="shared" si="7"/>
        <v>Heuchera richardsonii</v>
      </c>
      <c r="H442" t="str">
        <v>E640</v>
      </c>
    </row>
    <row r="443" spans="1:8" x14ac:dyDescent="0.2">
      <c r="A443" t="s">
        <v>526</v>
      </c>
      <c r="B443" t="s">
        <v>602</v>
      </c>
      <c r="E443" t="s">
        <v>1054</v>
      </c>
      <c r="G443" t="str">
        <f t="shared" si="7"/>
        <v>Heuchera richardsonii</v>
      </c>
      <c r="H443" t="str">
        <v>E641</v>
      </c>
    </row>
    <row r="444" spans="1:8" x14ac:dyDescent="0.2">
      <c r="A444" t="s">
        <v>526</v>
      </c>
      <c r="B444" t="s">
        <v>603</v>
      </c>
      <c r="E444" t="s">
        <v>1054</v>
      </c>
      <c r="G444" t="str">
        <f t="shared" si="7"/>
        <v>Heuchera richardsonii</v>
      </c>
      <c r="H444" t="str">
        <v>H105</v>
      </c>
    </row>
    <row r="445" spans="1:8" x14ac:dyDescent="0.2">
      <c r="A445" t="s">
        <v>526</v>
      </c>
      <c r="B445" t="s">
        <v>604</v>
      </c>
      <c r="E445" t="s">
        <v>1054</v>
      </c>
      <c r="G445" t="str">
        <f t="shared" si="7"/>
        <v>Heuchera richardsonii</v>
      </c>
      <c r="H445" t="str">
        <v>H106</v>
      </c>
    </row>
    <row r="446" spans="1:8" x14ac:dyDescent="0.2">
      <c r="A446" t="s">
        <v>526</v>
      </c>
      <c r="B446" t="s">
        <v>605</v>
      </c>
      <c r="E446" t="s">
        <v>1055</v>
      </c>
      <c r="G446" t="str">
        <f t="shared" si="7"/>
        <v>Heuchera richardsonii</v>
      </c>
      <c r="H446" t="str">
        <v>H166</v>
      </c>
    </row>
    <row r="447" spans="1:8" x14ac:dyDescent="0.2">
      <c r="A447" t="s">
        <v>526</v>
      </c>
      <c r="B447" t="s">
        <v>606</v>
      </c>
      <c r="E447" t="s">
        <v>1055</v>
      </c>
      <c r="G447" t="str">
        <f t="shared" si="7"/>
        <v>Heuchera richardsonii</v>
      </c>
      <c r="H447" t="str">
        <v>H167</v>
      </c>
    </row>
    <row r="448" spans="1:8" x14ac:dyDescent="0.2">
      <c r="A448" t="s">
        <v>526</v>
      </c>
      <c r="B448" t="s">
        <v>607</v>
      </c>
      <c r="E448" t="s">
        <v>1055</v>
      </c>
      <c r="G448" t="str">
        <f t="shared" si="7"/>
        <v>Heuchera richardsonii</v>
      </c>
      <c r="H448" t="str">
        <v>I65</v>
      </c>
    </row>
    <row r="449" spans="1:8" x14ac:dyDescent="0.2">
      <c r="A449" t="s">
        <v>526</v>
      </c>
      <c r="B449" t="s">
        <v>608</v>
      </c>
      <c r="E449" t="s">
        <v>1055</v>
      </c>
      <c r="G449" t="str">
        <f t="shared" si="7"/>
        <v>Heuchera richardsonii</v>
      </c>
      <c r="H449" t="str">
        <v>I82</v>
      </c>
    </row>
    <row r="450" spans="1:8" x14ac:dyDescent="0.2">
      <c r="A450" t="s">
        <v>526</v>
      </c>
      <c r="B450" t="s">
        <v>609</v>
      </c>
      <c r="E450" t="s">
        <v>1055</v>
      </c>
      <c r="G450" t="str">
        <f t="shared" si="7"/>
        <v>Heuchera richardsonii</v>
      </c>
      <c r="H450" t="str">
        <v>I58</v>
      </c>
    </row>
    <row r="451" spans="1:8" x14ac:dyDescent="0.2">
      <c r="A451" t="s">
        <v>526</v>
      </c>
      <c r="B451" t="s">
        <v>610</v>
      </c>
      <c r="E451" t="s">
        <v>1055</v>
      </c>
      <c r="G451" t="str">
        <f t="shared" ref="G451:G456" si="8">IF(H451&lt;&gt;"", INDEX(A:A, MATCH(H451, E:E, 0)), "NA")</f>
        <v>Heuchera sanguinea</v>
      </c>
      <c r="H451" t="str">
        <v>A26</v>
      </c>
    </row>
    <row r="452" spans="1:8" x14ac:dyDescent="0.2">
      <c r="A452" t="s">
        <v>526</v>
      </c>
      <c r="B452" t="s">
        <v>611</v>
      </c>
      <c r="E452" t="s">
        <v>1055</v>
      </c>
      <c r="G452" t="str">
        <f t="shared" si="8"/>
        <v>Heuchera villosa var. arkansana</v>
      </c>
      <c r="H452" t="str">
        <v>H192</v>
      </c>
    </row>
    <row r="453" spans="1:8" x14ac:dyDescent="0.2">
      <c r="A453" t="s">
        <v>526</v>
      </c>
      <c r="B453" t="s">
        <v>612</v>
      </c>
      <c r="E453" t="s">
        <v>612</v>
      </c>
      <c r="G453" t="str">
        <f t="shared" si="8"/>
        <v>Heuchera villosa var. macrorhiza</v>
      </c>
      <c r="H453" t="str">
        <v>A30</v>
      </c>
    </row>
    <row r="454" spans="1:8" x14ac:dyDescent="0.2">
      <c r="A454" t="s">
        <v>526</v>
      </c>
      <c r="B454" t="s">
        <v>614</v>
      </c>
      <c r="E454" t="s">
        <v>614</v>
      </c>
      <c r="G454" t="str">
        <f t="shared" si="8"/>
        <v>Heuchera villosa var. villosa</v>
      </c>
      <c r="H454" t="str">
        <v>A5</v>
      </c>
    </row>
    <row r="455" spans="1:8" x14ac:dyDescent="0.2">
      <c r="A455" t="s">
        <v>526</v>
      </c>
      <c r="B455" t="s">
        <v>615</v>
      </c>
      <c r="E455" t="s">
        <v>615</v>
      </c>
      <c r="G455" t="str">
        <f t="shared" si="8"/>
        <v>Heuchera woodsiaphila</v>
      </c>
      <c r="H455" t="str">
        <v>H23</v>
      </c>
    </row>
    <row r="456" spans="1:8" x14ac:dyDescent="0.2">
      <c r="A456" t="s">
        <v>526</v>
      </c>
      <c r="B456" t="s">
        <v>616</v>
      </c>
      <c r="E456" t="s">
        <v>616</v>
      </c>
      <c r="G456" t="str">
        <f t="shared" si="8"/>
        <v>Heuchera wootonii</v>
      </c>
      <c r="H456" t="str">
        <v>H22</v>
      </c>
    </row>
    <row r="457" spans="1:8" x14ac:dyDescent="0.2">
      <c r="A457" t="s">
        <v>526</v>
      </c>
      <c r="B457" t="s">
        <v>617</v>
      </c>
      <c r="E457" t="s">
        <v>617</v>
      </c>
    </row>
    <row r="458" spans="1:8" x14ac:dyDescent="0.2">
      <c r="A458" t="s">
        <v>526</v>
      </c>
      <c r="B458" t="s">
        <v>619</v>
      </c>
      <c r="E458" t="s">
        <v>619</v>
      </c>
    </row>
    <row r="459" spans="1:8" x14ac:dyDescent="0.2">
      <c r="A459" t="s">
        <v>526</v>
      </c>
      <c r="B459" t="s">
        <v>620</v>
      </c>
      <c r="E459" t="s">
        <v>620</v>
      </c>
    </row>
    <row r="460" spans="1:8" x14ac:dyDescent="0.2">
      <c r="A460" t="s">
        <v>526</v>
      </c>
      <c r="B460" t="s">
        <v>621</v>
      </c>
      <c r="E460" t="s">
        <v>621</v>
      </c>
    </row>
    <row r="461" spans="1:8" x14ac:dyDescent="0.2">
      <c r="A461" t="s">
        <v>526</v>
      </c>
      <c r="B461" t="s">
        <v>622</v>
      </c>
      <c r="E461" t="s">
        <v>622</v>
      </c>
    </row>
    <row r="462" spans="1:8" x14ac:dyDescent="0.2">
      <c r="A462" t="s">
        <v>526</v>
      </c>
      <c r="B462" t="s">
        <v>623</v>
      </c>
      <c r="E462" t="s">
        <v>623</v>
      </c>
    </row>
    <row r="463" spans="1:8" x14ac:dyDescent="0.2">
      <c r="A463" t="s">
        <v>526</v>
      </c>
      <c r="B463" t="s">
        <v>625</v>
      </c>
      <c r="E463" t="s">
        <v>625</v>
      </c>
    </row>
    <row r="464" spans="1:8" x14ac:dyDescent="0.2">
      <c r="A464" t="s">
        <v>526</v>
      </c>
      <c r="B464" t="s">
        <v>626</v>
      </c>
      <c r="E464" t="s">
        <v>626</v>
      </c>
    </row>
    <row r="465" spans="1:5" x14ac:dyDescent="0.2">
      <c r="A465" t="s">
        <v>526</v>
      </c>
      <c r="B465" t="s">
        <v>627</v>
      </c>
      <c r="E465" t="s">
        <v>627</v>
      </c>
    </row>
    <row r="466" spans="1:5" x14ac:dyDescent="0.2">
      <c r="A466" t="s">
        <v>526</v>
      </c>
      <c r="B466" t="s">
        <v>629</v>
      </c>
      <c r="E466" t="s">
        <v>629</v>
      </c>
    </row>
    <row r="467" spans="1:5" x14ac:dyDescent="0.2">
      <c r="A467" t="s">
        <v>526</v>
      </c>
      <c r="B467" t="s">
        <v>631</v>
      </c>
      <c r="E467" t="s">
        <v>631</v>
      </c>
    </row>
    <row r="468" spans="1:5" x14ac:dyDescent="0.2">
      <c r="A468" t="s">
        <v>526</v>
      </c>
      <c r="B468" t="s">
        <v>634</v>
      </c>
      <c r="E468" t="s">
        <v>634</v>
      </c>
    </row>
    <row r="469" spans="1:5" x14ac:dyDescent="0.2">
      <c r="A469" t="s">
        <v>526</v>
      </c>
      <c r="B469" t="s">
        <v>635</v>
      </c>
      <c r="E469" t="s">
        <v>635</v>
      </c>
    </row>
    <row r="470" spans="1:5" x14ac:dyDescent="0.2">
      <c r="A470" t="s">
        <v>526</v>
      </c>
      <c r="B470" t="s">
        <v>636</v>
      </c>
      <c r="E470" t="s">
        <v>636</v>
      </c>
    </row>
    <row r="471" spans="1:5" x14ac:dyDescent="0.2">
      <c r="A471" t="s">
        <v>526</v>
      </c>
      <c r="B471" t="s">
        <v>638</v>
      </c>
      <c r="E471" t="s">
        <v>638</v>
      </c>
    </row>
    <row r="472" spans="1:5" x14ac:dyDescent="0.2">
      <c r="A472" t="s">
        <v>526</v>
      </c>
      <c r="B472" t="s">
        <v>640</v>
      </c>
      <c r="E472" t="s">
        <v>640</v>
      </c>
    </row>
    <row r="473" spans="1:5" x14ac:dyDescent="0.2">
      <c r="A473" t="s">
        <v>526</v>
      </c>
      <c r="B473" t="s">
        <v>642</v>
      </c>
      <c r="E473" t="s">
        <v>642</v>
      </c>
    </row>
    <row r="474" spans="1:5" x14ac:dyDescent="0.2">
      <c r="A474" t="s">
        <v>526</v>
      </c>
      <c r="B474" t="s">
        <v>643</v>
      </c>
      <c r="E474" t="s">
        <v>643</v>
      </c>
    </row>
    <row r="475" spans="1:5" x14ac:dyDescent="0.2">
      <c r="A475" t="s">
        <v>526</v>
      </c>
      <c r="B475" t="s">
        <v>644</v>
      </c>
      <c r="E475" t="s">
        <v>644</v>
      </c>
    </row>
    <row r="476" spans="1:5" x14ac:dyDescent="0.2">
      <c r="A476" t="s">
        <v>526</v>
      </c>
      <c r="B476" t="s">
        <v>646</v>
      </c>
      <c r="E476" t="s">
        <v>646</v>
      </c>
    </row>
    <row r="477" spans="1:5" x14ac:dyDescent="0.2">
      <c r="A477" t="s">
        <v>526</v>
      </c>
      <c r="B477" t="s">
        <v>647</v>
      </c>
      <c r="E477" t="s">
        <v>647</v>
      </c>
    </row>
    <row r="478" spans="1:5" x14ac:dyDescent="0.2">
      <c r="A478" t="s">
        <v>526</v>
      </c>
      <c r="B478" t="s">
        <v>648</v>
      </c>
      <c r="E478" t="s">
        <v>648</v>
      </c>
    </row>
    <row r="479" spans="1:5" x14ac:dyDescent="0.2">
      <c r="A479" t="s">
        <v>526</v>
      </c>
      <c r="B479" t="s">
        <v>650</v>
      </c>
      <c r="E479" t="s">
        <v>650</v>
      </c>
    </row>
    <row r="480" spans="1:5" x14ac:dyDescent="0.2">
      <c r="A480" t="s">
        <v>526</v>
      </c>
      <c r="B480" t="s">
        <v>652</v>
      </c>
      <c r="E480" t="s">
        <v>652</v>
      </c>
    </row>
    <row r="481" spans="1:5" x14ac:dyDescent="0.2">
      <c r="A481" t="s">
        <v>526</v>
      </c>
      <c r="B481" t="s">
        <v>653</v>
      </c>
      <c r="E481" t="s">
        <v>653</v>
      </c>
    </row>
    <row r="482" spans="1:5" x14ac:dyDescent="0.2">
      <c r="A482" t="s">
        <v>526</v>
      </c>
      <c r="B482" t="s">
        <v>654</v>
      </c>
      <c r="E482" t="s">
        <v>654</v>
      </c>
    </row>
    <row r="483" spans="1:5" x14ac:dyDescent="0.2">
      <c r="A483" t="s">
        <v>526</v>
      </c>
      <c r="B483" t="s">
        <v>656</v>
      </c>
      <c r="E483" t="s">
        <v>656</v>
      </c>
    </row>
    <row r="484" spans="1:5" x14ac:dyDescent="0.2">
      <c r="A484" t="s">
        <v>526</v>
      </c>
      <c r="B484" t="s">
        <v>658</v>
      </c>
      <c r="E484" t="s">
        <v>658</v>
      </c>
    </row>
    <row r="485" spans="1:5" x14ac:dyDescent="0.2">
      <c r="A485" t="s">
        <v>526</v>
      </c>
      <c r="B485" t="s">
        <v>660</v>
      </c>
      <c r="E485" t="s">
        <v>660</v>
      </c>
    </row>
    <row r="486" spans="1:5" x14ac:dyDescent="0.2">
      <c r="A486" t="s">
        <v>526</v>
      </c>
      <c r="B486" t="s">
        <v>662</v>
      </c>
      <c r="E486" t="s">
        <v>662</v>
      </c>
    </row>
    <row r="487" spans="1:5" x14ac:dyDescent="0.2">
      <c r="A487" t="s">
        <v>526</v>
      </c>
      <c r="B487" t="s">
        <v>663</v>
      </c>
      <c r="E487" t="s">
        <v>663</v>
      </c>
    </row>
    <row r="488" spans="1:5" x14ac:dyDescent="0.2">
      <c r="A488" t="s">
        <v>526</v>
      </c>
      <c r="B488" t="s">
        <v>666</v>
      </c>
      <c r="E488" t="s">
        <v>666</v>
      </c>
    </row>
    <row r="489" spans="1:5" x14ac:dyDescent="0.2">
      <c r="A489" t="s">
        <v>526</v>
      </c>
      <c r="B489" t="s">
        <v>668</v>
      </c>
      <c r="E489" t="s">
        <v>668</v>
      </c>
    </row>
    <row r="490" spans="1:5" x14ac:dyDescent="0.2">
      <c r="A490" t="s">
        <v>526</v>
      </c>
      <c r="B490" t="s">
        <v>669</v>
      </c>
      <c r="E490" t="s">
        <v>669</v>
      </c>
    </row>
    <row r="491" spans="1:5" x14ac:dyDescent="0.2">
      <c r="A491" t="s">
        <v>526</v>
      </c>
      <c r="B491" t="s">
        <v>671</v>
      </c>
      <c r="E491" t="s">
        <v>671</v>
      </c>
    </row>
    <row r="492" spans="1:5" x14ac:dyDescent="0.2">
      <c r="A492" t="s">
        <v>526</v>
      </c>
      <c r="B492" t="s">
        <v>673</v>
      </c>
      <c r="E492" t="s">
        <v>673</v>
      </c>
    </row>
    <row r="493" spans="1:5" x14ac:dyDescent="0.2">
      <c r="A493" t="s">
        <v>526</v>
      </c>
      <c r="B493" t="s">
        <v>675</v>
      </c>
      <c r="E493" t="s">
        <v>675</v>
      </c>
    </row>
    <row r="494" spans="1:5" x14ac:dyDescent="0.2">
      <c r="A494" t="s">
        <v>526</v>
      </c>
      <c r="B494" t="s">
        <v>677</v>
      </c>
      <c r="E494" t="s">
        <v>677</v>
      </c>
    </row>
    <row r="495" spans="1:5" x14ac:dyDescent="0.2">
      <c r="A495" t="s">
        <v>526</v>
      </c>
      <c r="B495" t="s">
        <v>679</v>
      </c>
      <c r="E495" t="s">
        <v>679</v>
      </c>
    </row>
    <row r="496" spans="1:5" x14ac:dyDescent="0.2">
      <c r="A496" t="s">
        <v>526</v>
      </c>
      <c r="B496" t="s">
        <v>681</v>
      </c>
      <c r="E496" t="s">
        <v>681</v>
      </c>
    </row>
    <row r="497" spans="1:5" x14ac:dyDescent="0.2">
      <c r="A497" t="s">
        <v>526</v>
      </c>
      <c r="B497" t="s">
        <v>683</v>
      </c>
      <c r="E497" t="s">
        <v>683</v>
      </c>
    </row>
    <row r="498" spans="1:5" x14ac:dyDescent="0.2">
      <c r="A498" t="s">
        <v>526</v>
      </c>
      <c r="B498" t="s">
        <v>685</v>
      </c>
      <c r="E498" t="s">
        <v>685</v>
      </c>
    </row>
    <row r="499" spans="1:5" x14ac:dyDescent="0.2">
      <c r="A499" t="s">
        <v>526</v>
      </c>
      <c r="B499" t="s">
        <v>686</v>
      </c>
      <c r="E499" t="s">
        <v>686</v>
      </c>
    </row>
    <row r="500" spans="1:5" x14ac:dyDescent="0.2">
      <c r="A500" t="s">
        <v>526</v>
      </c>
      <c r="B500" t="s">
        <v>688</v>
      </c>
      <c r="E500" t="s">
        <v>688</v>
      </c>
    </row>
    <row r="501" spans="1:5" x14ac:dyDescent="0.2">
      <c r="A501" t="s">
        <v>526</v>
      </c>
      <c r="B501" t="s">
        <v>689</v>
      </c>
      <c r="E501" t="s">
        <v>689</v>
      </c>
    </row>
    <row r="502" spans="1:5" x14ac:dyDescent="0.2">
      <c r="A502" t="s">
        <v>526</v>
      </c>
      <c r="B502" t="s">
        <v>691</v>
      </c>
      <c r="E502" t="s">
        <v>691</v>
      </c>
    </row>
    <row r="503" spans="1:5" x14ac:dyDescent="0.2">
      <c r="A503" t="s">
        <v>526</v>
      </c>
      <c r="B503" t="s">
        <v>692</v>
      </c>
      <c r="E503" t="s">
        <v>1056</v>
      </c>
    </row>
    <row r="504" spans="1:5" x14ac:dyDescent="0.2">
      <c r="A504" t="s">
        <v>526</v>
      </c>
      <c r="B504" t="s">
        <v>693</v>
      </c>
      <c r="E504" t="s">
        <v>1057</v>
      </c>
    </row>
    <row r="505" spans="1:5" x14ac:dyDescent="0.2">
      <c r="A505" t="s">
        <v>526</v>
      </c>
      <c r="B505" t="s">
        <v>694</v>
      </c>
      <c r="E505" t="s">
        <v>1057</v>
      </c>
    </row>
    <row r="506" spans="1:5" x14ac:dyDescent="0.2">
      <c r="A506" t="s">
        <v>526</v>
      </c>
      <c r="B506" t="s">
        <v>695</v>
      </c>
      <c r="E506" t="s">
        <v>1058</v>
      </c>
    </row>
    <row r="507" spans="1:5" x14ac:dyDescent="0.2">
      <c r="A507" t="s">
        <v>526</v>
      </c>
      <c r="B507" t="s">
        <v>696</v>
      </c>
      <c r="E507" t="s">
        <v>1058</v>
      </c>
    </row>
    <row r="508" spans="1:5" x14ac:dyDescent="0.2">
      <c r="A508" t="s">
        <v>526</v>
      </c>
      <c r="B508" t="s">
        <v>697</v>
      </c>
      <c r="E508" t="s">
        <v>1058</v>
      </c>
    </row>
    <row r="509" spans="1:5" x14ac:dyDescent="0.2">
      <c r="A509" t="s">
        <v>526</v>
      </c>
      <c r="B509" t="s">
        <v>698</v>
      </c>
      <c r="E509" t="s">
        <v>1059</v>
      </c>
    </row>
    <row r="510" spans="1:5" x14ac:dyDescent="0.2">
      <c r="A510" t="s">
        <v>526</v>
      </c>
      <c r="B510" t="s">
        <v>699</v>
      </c>
      <c r="E510" t="s">
        <v>1059</v>
      </c>
    </row>
    <row r="511" spans="1:5" x14ac:dyDescent="0.2">
      <c r="A511" t="s">
        <v>526</v>
      </c>
      <c r="B511" t="s">
        <v>700</v>
      </c>
      <c r="E511" t="s">
        <v>1059</v>
      </c>
    </row>
    <row r="512" spans="1:5" x14ac:dyDescent="0.2">
      <c r="A512" t="s">
        <v>526</v>
      </c>
      <c r="B512" t="s">
        <v>701</v>
      </c>
      <c r="E512" t="s">
        <v>1060</v>
      </c>
    </row>
    <row r="513" spans="1:5" x14ac:dyDescent="0.2">
      <c r="A513" t="s">
        <v>526</v>
      </c>
      <c r="B513" t="s">
        <v>702</v>
      </c>
      <c r="E513" t="s">
        <v>1060</v>
      </c>
    </row>
    <row r="514" spans="1:5" x14ac:dyDescent="0.2">
      <c r="A514" t="s">
        <v>526</v>
      </c>
      <c r="B514" t="s">
        <v>703</v>
      </c>
      <c r="E514" t="s">
        <v>1060</v>
      </c>
    </row>
    <row r="515" spans="1:5" x14ac:dyDescent="0.2">
      <c r="A515" t="s">
        <v>526</v>
      </c>
      <c r="B515" t="s">
        <v>704</v>
      </c>
      <c r="E515" t="s">
        <v>1060</v>
      </c>
    </row>
    <row r="516" spans="1:5" x14ac:dyDescent="0.2">
      <c r="A516" t="s">
        <v>526</v>
      </c>
      <c r="B516" t="s">
        <v>705</v>
      </c>
      <c r="E516" t="s">
        <v>1060</v>
      </c>
    </row>
    <row r="517" spans="1:5" x14ac:dyDescent="0.2">
      <c r="A517" t="s">
        <v>706</v>
      </c>
      <c r="B517" t="s">
        <v>707</v>
      </c>
      <c r="E517" t="s">
        <v>707</v>
      </c>
    </row>
    <row r="518" spans="1:5" x14ac:dyDescent="0.2">
      <c r="A518" t="s">
        <v>706</v>
      </c>
      <c r="B518" t="s">
        <v>709</v>
      </c>
      <c r="E518" t="s">
        <v>709</v>
      </c>
    </row>
    <row r="519" spans="1:5" x14ac:dyDescent="0.2">
      <c r="A519" t="s">
        <v>706</v>
      </c>
      <c r="B519" t="s">
        <v>711</v>
      </c>
      <c r="E519" t="s">
        <v>711</v>
      </c>
    </row>
    <row r="520" spans="1:5" x14ac:dyDescent="0.2">
      <c r="A520" t="s">
        <v>706</v>
      </c>
      <c r="B520" t="s">
        <v>712</v>
      </c>
      <c r="E520" t="s">
        <v>712</v>
      </c>
    </row>
    <row r="521" spans="1:5" x14ac:dyDescent="0.2">
      <c r="A521" t="s">
        <v>706</v>
      </c>
      <c r="B521" t="s">
        <v>714</v>
      </c>
      <c r="E521" t="s">
        <v>714</v>
      </c>
    </row>
    <row r="522" spans="1:5" x14ac:dyDescent="0.2">
      <c r="A522" t="s">
        <v>706</v>
      </c>
      <c r="B522" t="s">
        <v>715</v>
      </c>
      <c r="E522" t="s">
        <v>715</v>
      </c>
    </row>
    <row r="523" spans="1:5" x14ac:dyDescent="0.2">
      <c r="A523" t="s">
        <v>706</v>
      </c>
      <c r="B523" t="s">
        <v>716</v>
      </c>
      <c r="E523" t="s">
        <v>716</v>
      </c>
    </row>
    <row r="524" spans="1:5" x14ac:dyDescent="0.2">
      <c r="A524" t="s">
        <v>706</v>
      </c>
      <c r="B524" t="s">
        <v>717</v>
      </c>
      <c r="E524" t="s">
        <v>717</v>
      </c>
    </row>
    <row r="525" spans="1:5" x14ac:dyDescent="0.2">
      <c r="A525" t="s">
        <v>706</v>
      </c>
      <c r="B525" t="s">
        <v>719</v>
      </c>
      <c r="E525" t="s">
        <v>719</v>
      </c>
    </row>
    <row r="526" spans="1:5" x14ac:dyDescent="0.2">
      <c r="A526" t="s">
        <v>706</v>
      </c>
      <c r="B526" t="s">
        <v>720</v>
      </c>
      <c r="E526" t="s">
        <v>720</v>
      </c>
    </row>
    <row r="527" spans="1:5" x14ac:dyDescent="0.2">
      <c r="A527" t="s">
        <v>706</v>
      </c>
      <c r="B527" t="s">
        <v>721</v>
      </c>
      <c r="E527" t="s">
        <v>721</v>
      </c>
    </row>
    <row r="528" spans="1:5" x14ac:dyDescent="0.2">
      <c r="A528" t="s">
        <v>706</v>
      </c>
      <c r="B528" t="s">
        <v>722</v>
      </c>
      <c r="E528" t="s">
        <v>722</v>
      </c>
    </row>
    <row r="529" spans="1:5" x14ac:dyDescent="0.2">
      <c r="A529" t="s">
        <v>706</v>
      </c>
      <c r="B529" t="s">
        <v>723</v>
      </c>
      <c r="E529" t="s">
        <v>723</v>
      </c>
    </row>
    <row r="530" spans="1:5" x14ac:dyDescent="0.2">
      <c r="A530" t="s">
        <v>706</v>
      </c>
      <c r="B530" t="s">
        <v>725</v>
      </c>
      <c r="E530" t="s">
        <v>725</v>
      </c>
    </row>
    <row r="531" spans="1:5" x14ac:dyDescent="0.2">
      <c r="A531" t="s">
        <v>706</v>
      </c>
      <c r="B531" t="s">
        <v>726</v>
      </c>
      <c r="E531" t="s">
        <v>726</v>
      </c>
    </row>
    <row r="532" spans="1:5" x14ac:dyDescent="0.2">
      <c r="A532" t="s">
        <v>706</v>
      </c>
      <c r="B532" t="s">
        <v>727</v>
      </c>
      <c r="E532" t="s">
        <v>727</v>
      </c>
    </row>
    <row r="533" spans="1:5" x14ac:dyDescent="0.2">
      <c r="A533" t="s">
        <v>706</v>
      </c>
      <c r="B533" t="s">
        <v>728</v>
      </c>
      <c r="E533" t="s">
        <v>728</v>
      </c>
    </row>
    <row r="534" spans="1:5" x14ac:dyDescent="0.2">
      <c r="A534" t="s">
        <v>706</v>
      </c>
      <c r="B534" t="s">
        <v>729</v>
      </c>
      <c r="E534" t="s">
        <v>729</v>
      </c>
    </row>
    <row r="535" spans="1:5" x14ac:dyDescent="0.2">
      <c r="A535" t="s">
        <v>706</v>
      </c>
      <c r="B535" t="s">
        <v>731</v>
      </c>
      <c r="E535" t="s">
        <v>731</v>
      </c>
    </row>
    <row r="536" spans="1:5" x14ac:dyDescent="0.2">
      <c r="A536" t="s">
        <v>706</v>
      </c>
      <c r="B536" t="s">
        <v>733</v>
      </c>
      <c r="E536" t="s">
        <v>733</v>
      </c>
    </row>
    <row r="537" spans="1:5" x14ac:dyDescent="0.2">
      <c r="A537" t="s">
        <v>706</v>
      </c>
      <c r="B537" t="s">
        <v>734</v>
      </c>
      <c r="E537" t="s">
        <v>734</v>
      </c>
    </row>
    <row r="538" spans="1:5" x14ac:dyDescent="0.2">
      <c r="A538" t="s">
        <v>706</v>
      </c>
      <c r="B538" t="s">
        <v>735</v>
      </c>
      <c r="E538" t="s">
        <v>735</v>
      </c>
    </row>
    <row r="539" spans="1:5" x14ac:dyDescent="0.2">
      <c r="A539" t="s">
        <v>706</v>
      </c>
      <c r="B539" t="s">
        <v>737</v>
      </c>
      <c r="E539" t="s">
        <v>737</v>
      </c>
    </row>
    <row r="540" spans="1:5" x14ac:dyDescent="0.2">
      <c r="A540" t="s">
        <v>706</v>
      </c>
      <c r="B540" t="s">
        <v>738</v>
      </c>
      <c r="E540" t="s">
        <v>738</v>
      </c>
    </row>
    <row r="541" spans="1:5" x14ac:dyDescent="0.2">
      <c r="A541" t="s">
        <v>706</v>
      </c>
      <c r="B541" t="s">
        <v>740</v>
      </c>
      <c r="E541" t="s">
        <v>740</v>
      </c>
    </row>
    <row r="542" spans="1:5" x14ac:dyDescent="0.2">
      <c r="A542" t="s">
        <v>706</v>
      </c>
      <c r="B542" t="s">
        <v>742</v>
      </c>
      <c r="E542" t="s">
        <v>742</v>
      </c>
    </row>
    <row r="543" spans="1:5" x14ac:dyDescent="0.2">
      <c r="A543" t="s">
        <v>706</v>
      </c>
      <c r="B543" t="s">
        <v>744</v>
      </c>
      <c r="E543" t="s">
        <v>744</v>
      </c>
    </row>
    <row r="544" spans="1:5" x14ac:dyDescent="0.2">
      <c r="A544" t="s">
        <v>706</v>
      </c>
      <c r="B544" t="s">
        <v>746</v>
      </c>
      <c r="E544" t="s">
        <v>746</v>
      </c>
    </row>
    <row r="545" spans="1:5" x14ac:dyDescent="0.2">
      <c r="A545" t="s">
        <v>706</v>
      </c>
      <c r="B545" t="s">
        <v>748</v>
      </c>
      <c r="E545" t="s">
        <v>748</v>
      </c>
    </row>
    <row r="546" spans="1:5" x14ac:dyDescent="0.2">
      <c r="A546" t="s">
        <v>706</v>
      </c>
      <c r="B546" t="s">
        <v>749</v>
      </c>
      <c r="E546" t="s">
        <v>749</v>
      </c>
    </row>
    <row r="547" spans="1:5" x14ac:dyDescent="0.2">
      <c r="A547" t="s">
        <v>706</v>
      </c>
      <c r="B547" t="s">
        <v>751</v>
      </c>
      <c r="E547" t="s">
        <v>751</v>
      </c>
    </row>
    <row r="548" spans="1:5" x14ac:dyDescent="0.2">
      <c r="A548" t="s">
        <v>706</v>
      </c>
      <c r="B548" t="s">
        <v>752</v>
      </c>
      <c r="E548" t="s">
        <v>752</v>
      </c>
    </row>
    <row r="549" spans="1:5" x14ac:dyDescent="0.2">
      <c r="A549" t="s">
        <v>706</v>
      </c>
      <c r="B549" t="s">
        <v>754</v>
      </c>
      <c r="E549" t="s">
        <v>754</v>
      </c>
    </row>
    <row r="550" spans="1:5" x14ac:dyDescent="0.2">
      <c r="A550" t="s">
        <v>706</v>
      </c>
      <c r="B550" t="s">
        <v>755</v>
      </c>
      <c r="E550" t="s">
        <v>755</v>
      </c>
    </row>
    <row r="551" spans="1:5" x14ac:dyDescent="0.2">
      <c r="A551" t="s">
        <v>706</v>
      </c>
      <c r="B551" t="s">
        <v>757</v>
      </c>
      <c r="E551" t="s">
        <v>757</v>
      </c>
    </row>
    <row r="552" spans="1:5" x14ac:dyDescent="0.2">
      <c r="A552" t="s">
        <v>706</v>
      </c>
      <c r="B552" t="s">
        <v>758</v>
      </c>
      <c r="E552" t="s">
        <v>758</v>
      </c>
    </row>
    <row r="553" spans="1:5" x14ac:dyDescent="0.2">
      <c r="A553" t="s">
        <v>706</v>
      </c>
      <c r="B553" t="s">
        <v>759</v>
      </c>
      <c r="E553" t="s">
        <v>1061</v>
      </c>
    </row>
    <row r="554" spans="1:5" x14ac:dyDescent="0.2">
      <c r="A554" t="s">
        <v>706</v>
      </c>
      <c r="B554" t="s">
        <v>761</v>
      </c>
      <c r="E554" t="s">
        <v>1061</v>
      </c>
    </row>
    <row r="555" spans="1:5" x14ac:dyDescent="0.2">
      <c r="A555" t="s">
        <v>706</v>
      </c>
      <c r="B555" t="s">
        <v>762</v>
      </c>
      <c r="E555" t="s">
        <v>1062</v>
      </c>
    </row>
    <row r="556" spans="1:5" x14ac:dyDescent="0.2">
      <c r="A556" t="s">
        <v>706</v>
      </c>
      <c r="B556" t="s">
        <v>764</v>
      </c>
      <c r="E556" t="s">
        <v>1062</v>
      </c>
    </row>
    <row r="557" spans="1:5" x14ac:dyDescent="0.2">
      <c r="A557" t="s">
        <v>706</v>
      </c>
      <c r="B557" t="s">
        <v>765</v>
      </c>
      <c r="E557" t="s">
        <v>1062</v>
      </c>
    </row>
    <row r="558" spans="1:5" x14ac:dyDescent="0.2">
      <c r="A558" t="s">
        <v>706</v>
      </c>
      <c r="B558" t="s">
        <v>766</v>
      </c>
      <c r="E558" t="s">
        <v>1063</v>
      </c>
    </row>
    <row r="559" spans="1:5" x14ac:dyDescent="0.2">
      <c r="A559" t="s">
        <v>706</v>
      </c>
      <c r="B559" t="s">
        <v>767</v>
      </c>
      <c r="E559" t="s">
        <v>1063</v>
      </c>
    </row>
    <row r="560" spans="1:5" x14ac:dyDescent="0.2">
      <c r="A560" t="s">
        <v>706</v>
      </c>
      <c r="B560" t="s">
        <v>768</v>
      </c>
      <c r="E560" t="s">
        <v>1064</v>
      </c>
    </row>
    <row r="561" spans="1:5" x14ac:dyDescent="0.2">
      <c r="A561" t="s">
        <v>706</v>
      </c>
      <c r="B561" t="s">
        <v>769</v>
      </c>
      <c r="E561" t="s">
        <v>1064</v>
      </c>
    </row>
    <row r="562" spans="1:5" x14ac:dyDescent="0.2">
      <c r="A562" t="s">
        <v>770</v>
      </c>
      <c r="B562" t="s">
        <v>771</v>
      </c>
      <c r="E562" t="s">
        <v>1065</v>
      </c>
    </row>
    <row r="563" spans="1:5" x14ac:dyDescent="0.2">
      <c r="A563" t="s">
        <v>772</v>
      </c>
      <c r="B563" t="s">
        <v>773</v>
      </c>
      <c r="E563" t="s">
        <v>773</v>
      </c>
    </row>
    <row r="564" spans="1:5" x14ac:dyDescent="0.2">
      <c r="A564" t="s">
        <v>772</v>
      </c>
      <c r="B564" t="s">
        <v>775</v>
      </c>
      <c r="E564" t="s">
        <v>775</v>
      </c>
    </row>
    <row r="565" spans="1:5" x14ac:dyDescent="0.2">
      <c r="A565" t="s">
        <v>772</v>
      </c>
      <c r="B565" t="s">
        <v>776</v>
      </c>
      <c r="E565" t="s">
        <v>776</v>
      </c>
    </row>
    <row r="566" spans="1:5" x14ac:dyDescent="0.2">
      <c r="A566" t="s">
        <v>772</v>
      </c>
      <c r="B566" t="s">
        <v>777</v>
      </c>
      <c r="E566" t="s">
        <v>777</v>
      </c>
    </row>
    <row r="567" spans="1:5" x14ac:dyDescent="0.2">
      <c r="A567" t="s">
        <v>772</v>
      </c>
      <c r="B567" t="s">
        <v>779</v>
      </c>
      <c r="E567" t="s">
        <v>779</v>
      </c>
    </row>
    <row r="568" spans="1:5" x14ac:dyDescent="0.2">
      <c r="A568" t="s">
        <v>772</v>
      </c>
      <c r="B568" t="s">
        <v>780</v>
      </c>
      <c r="E568" t="s">
        <v>780</v>
      </c>
    </row>
    <row r="569" spans="1:5" x14ac:dyDescent="0.2">
      <c r="A569" t="s">
        <v>772</v>
      </c>
      <c r="B569" t="s">
        <v>782</v>
      </c>
      <c r="E569" t="s">
        <v>782</v>
      </c>
    </row>
    <row r="570" spans="1:5" x14ac:dyDescent="0.2">
      <c r="A570" t="s">
        <v>772</v>
      </c>
      <c r="B570" t="s">
        <v>784</v>
      </c>
      <c r="E570" t="s">
        <v>784</v>
      </c>
    </row>
    <row r="571" spans="1:5" x14ac:dyDescent="0.2">
      <c r="A571" t="s">
        <v>772</v>
      </c>
      <c r="B571" t="s">
        <v>785</v>
      </c>
      <c r="E571" t="s">
        <v>785</v>
      </c>
    </row>
    <row r="572" spans="1:5" x14ac:dyDescent="0.2">
      <c r="A572" t="s">
        <v>772</v>
      </c>
      <c r="B572" t="s">
        <v>786</v>
      </c>
      <c r="E572" t="s">
        <v>786</v>
      </c>
    </row>
    <row r="573" spans="1:5" x14ac:dyDescent="0.2">
      <c r="A573" t="s">
        <v>772</v>
      </c>
      <c r="B573" t="s">
        <v>787</v>
      </c>
      <c r="E573" t="s">
        <v>1066</v>
      </c>
    </row>
    <row r="574" spans="1:5" x14ac:dyDescent="0.2">
      <c r="A574" t="s">
        <v>772</v>
      </c>
      <c r="B574" t="s">
        <v>788</v>
      </c>
      <c r="E574" t="s">
        <v>1066</v>
      </c>
    </row>
    <row r="575" spans="1:5" x14ac:dyDescent="0.2">
      <c r="A575" t="s">
        <v>772</v>
      </c>
      <c r="B575" t="s">
        <v>772</v>
      </c>
      <c r="E575" t="s">
        <v>772</v>
      </c>
    </row>
    <row r="576" spans="1:5" x14ac:dyDescent="0.2">
      <c r="A576" t="s">
        <v>772</v>
      </c>
      <c r="B576" t="s">
        <v>772</v>
      </c>
      <c r="E576" t="s">
        <v>772</v>
      </c>
    </row>
    <row r="577" spans="1:5" x14ac:dyDescent="0.2">
      <c r="A577" t="s">
        <v>772</v>
      </c>
      <c r="B577" t="s">
        <v>772</v>
      </c>
      <c r="E577" t="s">
        <v>772</v>
      </c>
    </row>
    <row r="578" spans="1:5" x14ac:dyDescent="0.2">
      <c r="A578" t="s">
        <v>792</v>
      </c>
      <c r="B578" t="s">
        <v>793</v>
      </c>
      <c r="E578" t="s">
        <v>1067</v>
      </c>
    </row>
    <row r="579" spans="1:5" x14ac:dyDescent="0.2">
      <c r="A579" t="s">
        <v>798</v>
      </c>
      <c r="B579" t="s">
        <v>799</v>
      </c>
      <c r="E579" t="s">
        <v>799</v>
      </c>
    </row>
    <row r="580" spans="1:5" x14ac:dyDescent="0.2">
      <c r="A580" t="s">
        <v>800</v>
      </c>
      <c r="B580" t="s">
        <v>801</v>
      </c>
      <c r="E580" t="s">
        <v>1068</v>
      </c>
    </row>
    <row r="581" spans="1:5" x14ac:dyDescent="0.2">
      <c r="A581" t="s">
        <v>802</v>
      </c>
      <c r="B581" t="s">
        <v>803</v>
      </c>
      <c r="E581" t="s">
        <v>1069</v>
      </c>
    </row>
    <row r="582" spans="1:5" x14ac:dyDescent="0.2">
      <c r="A582" t="s">
        <v>805</v>
      </c>
      <c r="B582" t="s">
        <v>806</v>
      </c>
      <c r="E582" t="s">
        <v>1070</v>
      </c>
    </row>
    <row r="583" spans="1:5" x14ac:dyDescent="0.2">
      <c r="A583" t="s">
        <v>808</v>
      </c>
      <c r="B583" t="s">
        <v>809</v>
      </c>
      <c r="E583" t="s">
        <v>809</v>
      </c>
    </row>
    <row r="584" spans="1:5" x14ac:dyDescent="0.2">
      <c r="A584" t="s">
        <v>808</v>
      </c>
      <c r="B584" t="s">
        <v>810</v>
      </c>
      <c r="E584" t="s">
        <v>1071</v>
      </c>
    </row>
    <row r="585" spans="1:5" x14ac:dyDescent="0.2">
      <c r="A585" t="s">
        <v>812</v>
      </c>
      <c r="B585" t="s">
        <v>813</v>
      </c>
      <c r="E585" t="s">
        <v>1072</v>
      </c>
    </row>
    <row r="586" spans="1:5" x14ac:dyDescent="0.2">
      <c r="A586" t="s">
        <v>812</v>
      </c>
      <c r="B586" t="s">
        <v>814</v>
      </c>
      <c r="E586" t="s">
        <v>1072</v>
      </c>
    </row>
    <row r="587" spans="1:5" x14ac:dyDescent="0.2">
      <c r="A587" t="s">
        <v>812</v>
      </c>
      <c r="B587" t="s">
        <v>815</v>
      </c>
      <c r="E587" t="s">
        <v>1073</v>
      </c>
    </row>
    <row r="588" spans="1:5" x14ac:dyDescent="0.2">
      <c r="A588" t="s">
        <v>812</v>
      </c>
      <c r="B588" t="s">
        <v>816</v>
      </c>
      <c r="E588" t="s">
        <v>1073</v>
      </c>
    </row>
    <row r="589" spans="1:5" x14ac:dyDescent="0.2">
      <c r="A589" t="s">
        <v>817</v>
      </c>
      <c r="B589" t="s">
        <v>818</v>
      </c>
      <c r="E589" t="s">
        <v>1074</v>
      </c>
    </row>
    <row r="590" spans="1:5" x14ac:dyDescent="0.2">
      <c r="A590" t="s">
        <v>817</v>
      </c>
      <c r="B590" t="s">
        <v>819</v>
      </c>
      <c r="E590" t="s">
        <v>1074</v>
      </c>
    </row>
    <row r="591" spans="1:5" x14ac:dyDescent="0.2">
      <c r="A591" t="s">
        <v>817</v>
      </c>
      <c r="B591" t="s">
        <v>820</v>
      </c>
      <c r="E591" t="s">
        <v>1074</v>
      </c>
    </row>
    <row r="592" spans="1:5" x14ac:dyDescent="0.2">
      <c r="A592" t="s">
        <v>817</v>
      </c>
      <c r="B592" t="s">
        <v>821</v>
      </c>
      <c r="E592" t="s">
        <v>1075</v>
      </c>
    </row>
    <row r="593" spans="1:5" x14ac:dyDescent="0.2">
      <c r="A593" t="s">
        <v>817</v>
      </c>
      <c r="B593" t="s">
        <v>822</v>
      </c>
      <c r="E593" t="s">
        <v>1075</v>
      </c>
    </row>
    <row r="594" spans="1:5" x14ac:dyDescent="0.2">
      <c r="A594" t="s">
        <v>817</v>
      </c>
      <c r="B594" t="s">
        <v>823</v>
      </c>
      <c r="E594" t="s">
        <v>1076</v>
      </c>
    </row>
    <row r="595" spans="1:5" x14ac:dyDescent="0.2">
      <c r="A595" t="s">
        <v>817</v>
      </c>
      <c r="B595" t="s">
        <v>824</v>
      </c>
      <c r="E595" t="s">
        <v>1076</v>
      </c>
    </row>
    <row r="596" spans="1:5" x14ac:dyDescent="0.2">
      <c r="A596" t="s">
        <v>817</v>
      </c>
      <c r="B596" t="s">
        <v>825</v>
      </c>
      <c r="E596" t="s">
        <v>1077</v>
      </c>
    </row>
    <row r="597" spans="1:5" x14ac:dyDescent="0.2">
      <c r="A597" t="s">
        <v>817</v>
      </c>
      <c r="B597" t="s">
        <v>826</v>
      </c>
      <c r="E597" t="s">
        <v>1077</v>
      </c>
    </row>
    <row r="598" spans="1:5" x14ac:dyDescent="0.2">
      <c r="A598" t="s">
        <v>817</v>
      </c>
      <c r="B598" t="s">
        <v>827</v>
      </c>
      <c r="E598" t="s">
        <v>1078</v>
      </c>
    </row>
    <row r="599" spans="1:5" x14ac:dyDescent="0.2">
      <c r="A599" t="s">
        <v>828</v>
      </c>
      <c r="B599" t="s">
        <v>829</v>
      </c>
      <c r="E599" t="s">
        <v>829</v>
      </c>
    </row>
    <row r="600" spans="1:5" x14ac:dyDescent="0.2">
      <c r="A600" t="s">
        <v>830</v>
      </c>
      <c r="B600" t="s">
        <v>831</v>
      </c>
      <c r="E600" t="s">
        <v>831</v>
      </c>
    </row>
    <row r="601" spans="1:5" x14ac:dyDescent="0.2">
      <c r="A601" t="s">
        <v>832</v>
      </c>
      <c r="B601" t="s">
        <v>833</v>
      </c>
      <c r="E601" t="s">
        <v>833</v>
      </c>
    </row>
    <row r="602" spans="1:5" x14ac:dyDescent="0.2">
      <c r="A602" t="s">
        <v>834</v>
      </c>
      <c r="B602" t="s">
        <v>835</v>
      </c>
      <c r="E602" t="s">
        <v>835</v>
      </c>
    </row>
    <row r="603" spans="1:5" x14ac:dyDescent="0.2">
      <c r="A603" t="s">
        <v>836</v>
      </c>
      <c r="B603" t="s">
        <v>837</v>
      </c>
      <c r="E603" t="s">
        <v>1079</v>
      </c>
    </row>
    <row r="604" spans="1:5" x14ac:dyDescent="0.2">
      <c r="A604" t="s">
        <v>838</v>
      </c>
      <c r="B604" t="s">
        <v>839</v>
      </c>
      <c r="E604" t="s">
        <v>1080</v>
      </c>
    </row>
    <row r="605" spans="1:5" x14ac:dyDescent="0.2">
      <c r="A605" t="s">
        <v>840</v>
      </c>
      <c r="B605" t="s">
        <v>841</v>
      </c>
      <c r="E605" t="s">
        <v>1081</v>
      </c>
    </row>
    <row r="606" spans="1:5" x14ac:dyDescent="0.2">
      <c r="A606" t="s">
        <v>842</v>
      </c>
      <c r="B606" t="s">
        <v>843</v>
      </c>
      <c r="E606" t="s">
        <v>1082</v>
      </c>
    </row>
    <row r="607" spans="1:5" x14ac:dyDescent="0.2">
      <c r="A607" t="s">
        <v>845</v>
      </c>
      <c r="B607" t="s">
        <v>846</v>
      </c>
      <c r="E607" t="s">
        <v>1083</v>
      </c>
    </row>
    <row r="608" spans="1:5" x14ac:dyDescent="0.2">
      <c r="A608" t="s">
        <v>847</v>
      </c>
      <c r="B608" t="s">
        <v>848</v>
      </c>
      <c r="E608" t="s">
        <v>848</v>
      </c>
    </row>
    <row r="609" spans="1:5" x14ac:dyDescent="0.2">
      <c r="A609" t="s">
        <v>847</v>
      </c>
      <c r="B609" t="s">
        <v>849</v>
      </c>
      <c r="E609" t="s">
        <v>849</v>
      </c>
    </row>
    <row r="610" spans="1:5" x14ac:dyDescent="0.2">
      <c r="A610" t="s">
        <v>847</v>
      </c>
      <c r="B610" t="s">
        <v>851</v>
      </c>
      <c r="E610" t="s">
        <v>851</v>
      </c>
    </row>
    <row r="611" spans="1:5" x14ac:dyDescent="0.2">
      <c r="A611" t="s">
        <v>847</v>
      </c>
      <c r="B611" t="s">
        <v>852</v>
      </c>
      <c r="E611" t="s">
        <v>852</v>
      </c>
    </row>
    <row r="612" spans="1:5" x14ac:dyDescent="0.2">
      <c r="A612" t="s">
        <v>847</v>
      </c>
      <c r="B612" t="s">
        <v>853</v>
      </c>
      <c r="E612" t="s">
        <v>853</v>
      </c>
    </row>
    <row r="613" spans="1:5" x14ac:dyDescent="0.2">
      <c r="A613" t="s">
        <v>847</v>
      </c>
      <c r="B613" t="s">
        <v>854</v>
      </c>
      <c r="E613" t="s">
        <v>854</v>
      </c>
    </row>
    <row r="614" spans="1:5" x14ac:dyDescent="0.2">
      <c r="A614" t="s">
        <v>847</v>
      </c>
      <c r="B614" t="s">
        <v>855</v>
      </c>
      <c r="E614" t="s">
        <v>855</v>
      </c>
    </row>
    <row r="615" spans="1:5" x14ac:dyDescent="0.2">
      <c r="A615" t="s">
        <v>847</v>
      </c>
      <c r="B615" t="s">
        <v>856</v>
      </c>
      <c r="E615" t="s">
        <v>856</v>
      </c>
    </row>
    <row r="616" spans="1:5" x14ac:dyDescent="0.2">
      <c r="A616" t="s">
        <v>847</v>
      </c>
      <c r="B616" t="s">
        <v>857</v>
      </c>
      <c r="E616" t="s">
        <v>857</v>
      </c>
    </row>
    <row r="617" spans="1:5" x14ac:dyDescent="0.2">
      <c r="A617" t="s">
        <v>847</v>
      </c>
      <c r="B617" t="s">
        <v>859</v>
      </c>
      <c r="E617" t="s">
        <v>1084</v>
      </c>
    </row>
    <row r="618" spans="1:5" x14ac:dyDescent="0.2">
      <c r="A618" t="s">
        <v>847</v>
      </c>
      <c r="B618" t="s">
        <v>860</v>
      </c>
      <c r="E618" t="s">
        <v>1084</v>
      </c>
    </row>
    <row r="619" spans="1:5" x14ac:dyDescent="0.2">
      <c r="A619" t="s">
        <v>847</v>
      </c>
      <c r="B619" t="s">
        <v>861</v>
      </c>
      <c r="E619" t="s">
        <v>1084</v>
      </c>
    </row>
    <row r="620" spans="1:5" x14ac:dyDescent="0.2">
      <c r="A620" t="s">
        <v>847</v>
      </c>
      <c r="B620" t="s">
        <v>862</v>
      </c>
      <c r="E620" t="s">
        <v>1085</v>
      </c>
    </row>
    <row r="621" spans="1:5" x14ac:dyDescent="0.2">
      <c r="A621" t="s">
        <v>847</v>
      </c>
      <c r="B621" t="s">
        <v>863</v>
      </c>
      <c r="E621" t="s">
        <v>1085</v>
      </c>
    </row>
    <row r="622" spans="1:5" x14ac:dyDescent="0.2">
      <c r="A622" t="s">
        <v>847</v>
      </c>
      <c r="B622" t="s">
        <v>864</v>
      </c>
      <c r="E622" t="s">
        <v>1085</v>
      </c>
    </row>
    <row r="623" spans="1:5" x14ac:dyDescent="0.2">
      <c r="A623" t="s">
        <v>865</v>
      </c>
      <c r="B623" t="s">
        <v>866</v>
      </c>
      <c r="E623" t="s">
        <v>1086</v>
      </c>
    </row>
    <row r="624" spans="1:5" x14ac:dyDescent="0.2">
      <c r="A624" t="s">
        <v>865</v>
      </c>
      <c r="B624" t="s">
        <v>867</v>
      </c>
      <c r="E624" t="s">
        <v>1086</v>
      </c>
    </row>
    <row r="625" spans="1:5" x14ac:dyDescent="0.2">
      <c r="A625" t="s">
        <v>865</v>
      </c>
      <c r="B625" t="s">
        <v>868</v>
      </c>
      <c r="E625" t="s">
        <v>1086</v>
      </c>
    </row>
    <row r="626" spans="1:5" x14ac:dyDescent="0.2">
      <c r="A626" t="s">
        <v>865</v>
      </c>
      <c r="B626" t="s">
        <v>869</v>
      </c>
      <c r="E626" t="s">
        <v>1086</v>
      </c>
    </row>
    <row r="627" spans="1:5" x14ac:dyDescent="0.2">
      <c r="A627" t="s">
        <v>865</v>
      </c>
      <c r="B627" t="s">
        <v>870</v>
      </c>
      <c r="E627" t="s">
        <v>1086</v>
      </c>
    </row>
    <row r="628" spans="1:5" x14ac:dyDescent="0.2">
      <c r="A628" t="s">
        <v>865</v>
      </c>
      <c r="B628" t="s">
        <v>871</v>
      </c>
      <c r="E628" t="s">
        <v>1086</v>
      </c>
    </row>
    <row r="629" spans="1:5" x14ac:dyDescent="0.2">
      <c r="A629" t="s">
        <v>865</v>
      </c>
      <c r="B629" t="s">
        <v>872</v>
      </c>
      <c r="E629" t="s">
        <v>1086</v>
      </c>
    </row>
    <row r="630" spans="1:5" x14ac:dyDescent="0.2">
      <c r="A630" t="s">
        <v>865</v>
      </c>
      <c r="B630" t="s">
        <v>873</v>
      </c>
      <c r="E630" t="s">
        <v>1086</v>
      </c>
    </row>
    <row r="631" spans="1:5" x14ac:dyDescent="0.2">
      <c r="A631" t="s">
        <v>865</v>
      </c>
      <c r="B631" t="s">
        <v>874</v>
      </c>
      <c r="E631" t="s">
        <v>1086</v>
      </c>
    </row>
    <row r="632" spans="1:5" x14ac:dyDescent="0.2">
      <c r="A632" t="s">
        <v>865</v>
      </c>
      <c r="B632" t="s">
        <v>875</v>
      </c>
      <c r="E632" t="s">
        <v>1086</v>
      </c>
    </row>
    <row r="633" spans="1:5" x14ac:dyDescent="0.2">
      <c r="A633" t="s">
        <v>865</v>
      </c>
      <c r="B633" t="s">
        <v>876</v>
      </c>
      <c r="E633" t="s">
        <v>1086</v>
      </c>
    </row>
    <row r="634" spans="1:5" x14ac:dyDescent="0.2">
      <c r="A634" t="s">
        <v>865</v>
      </c>
      <c r="B634" t="s">
        <v>877</v>
      </c>
      <c r="E634" t="s">
        <v>1086</v>
      </c>
    </row>
    <row r="635" spans="1:5" x14ac:dyDescent="0.2">
      <c r="A635" t="s">
        <v>865</v>
      </c>
      <c r="B635" t="s">
        <v>878</v>
      </c>
      <c r="E635" t="s">
        <v>1086</v>
      </c>
    </row>
    <row r="636" spans="1:5" x14ac:dyDescent="0.2">
      <c r="A636" t="s">
        <v>865</v>
      </c>
      <c r="B636" t="s">
        <v>879</v>
      </c>
      <c r="E636" t="s">
        <v>1087</v>
      </c>
    </row>
    <row r="637" spans="1:5" x14ac:dyDescent="0.2">
      <c r="A637" t="s">
        <v>865</v>
      </c>
      <c r="B637" t="s">
        <v>881</v>
      </c>
      <c r="E637" t="s">
        <v>1087</v>
      </c>
    </row>
    <row r="638" spans="1:5" x14ac:dyDescent="0.2">
      <c r="A638" t="s">
        <v>865</v>
      </c>
      <c r="B638" t="s">
        <v>882</v>
      </c>
      <c r="E638" t="s">
        <v>1087</v>
      </c>
    </row>
    <row r="639" spans="1:5" x14ac:dyDescent="0.2">
      <c r="A639" t="s">
        <v>865</v>
      </c>
      <c r="B639" t="s">
        <v>883</v>
      </c>
      <c r="E639" t="s">
        <v>1087</v>
      </c>
    </row>
    <row r="640" spans="1:5" x14ac:dyDescent="0.2">
      <c r="A640" t="s">
        <v>865</v>
      </c>
      <c r="B640" t="s">
        <v>884</v>
      </c>
      <c r="E640" t="s">
        <v>1087</v>
      </c>
    </row>
    <row r="641" spans="1:5" x14ac:dyDescent="0.2">
      <c r="A641" t="s">
        <v>865</v>
      </c>
      <c r="B641" t="s">
        <v>885</v>
      </c>
      <c r="E641" t="s">
        <v>1087</v>
      </c>
    </row>
    <row r="642" spans="1:5" x14ac:dyDescent="0.2">
      <c r="A642" t="s">
        <v>865</v>
      </c>
      <c r="B642" t="s">
        <v>886</v>
      </c>
      <c r="E642" t="s">
        <v>1087</v>
      </c>
    </row>
    <row r="643" spans="1:5" x14ac:dyDescent="0.2">
      <c r="A643" t="s">
        <v>865</v>
      </c>
      <c r="B643" t="s">
        <v>887</v>
      </c>
      <c r="E643" t="s">
        <v>1087</v>
      </c>
    </row>
    <row r="644" spans="1:5" x14ac:dyDescent="0.2">
      <c r="A644" t="s">
        <v>865</v>
      </c>
      <c r="B644" t="s">
        <v>888</v>
      </c>
      <c r="E644" t="s">
        <v>1087</v>
      </c>
    </row>
    <row r="645" spans="1:5" x14ac:dyDescent="0.2">
      <c r="A645" t="s">
        <v>865</v>
      </c>
      <c r="B645" t="s">
        <v>889</v>
      </c>
      <c r="E645" t="s">
        <v>1087</v>
      </c>
    </row>
    <row r="646" spans="1:5" x14ac:dyDescent="0.2">
      <c r="A646" t="s">
        <v>865</v>
      </c>
      <c r="B646" t="s">
        <v>890</v>
      </c>
      <c r="E646" t="s">
        <v>1088</v>
      </c>
    </row>
    <row r="647" spans="1:5" x14ac:dyDescent="0.2">
      <c r="A647" t="s">
        <v>865</v>
      </c>
      <c r="B647" t="s">
        <v>892</v>
      </c>
      <c r="E647" t="s">
        <v>1088</v>
      </c>
    </row>
    <row r="648" spans="1:5" x14ac:dyDescent="0.2">
      <c r="A648" t="s">
        <v>865</v>
      </c>
      <c r="B648" t="s">
        <v>893</v>
      </c>
      <c r="E648" t="s">
        <v>1088</v>
      </c>
    </row>
    <row r="649" spans="1:5" x14ac:dyDescent="0.2">
      <c r="A649" t="s">
        <v>865</v>
      </c>
      <c r="B649" t="s">
        <v>894</v>
      </c>
      <c r="E649" t="s">
        <v>1088</v>
      </c>
    </row>
    <row r="650" spans="1:5" x14ac:dyDescent="0.2">
      <c r="A650" t="s">
        <v>865</v>
      </c>
      <c r="B650" t="s">
        <v>895</v>
      </c>
      <c r="E650" t="s">
        <v>1088</v>
      </c>
    </row>
    <row r="651" spans="1:5" x14ac:dyDescent="0.2">
      <c r="A651" t="s">
        <v>865</v>
      </c>
      <c r="B651" t="s">
        <v>896</v>
      </c>
      <c r="E651" t="s">
        <v>1088</v>
      </c>
    </row>
    <row r="652" spans="1:5" x14ac:dyDescent="0.2">
      <c r="A652" t="s">
        <v>865</v>
      </c>
      <c r="B652" t="s">
        <v>897</v>
      </c>
      <c r="E652" t="s">
        <v>1088</v>
      </c>
    </row>
    <row r="653" spans="1:5" x14ac:dyDescent="0.2">
      <c r="A653" t="s">
        <v>865</v>
      </c>
      <c r="B653" t="s">
        <v>898</v>
      </c>
      <c r="E653" t="s">
        <v>1088</v>
      </c>
    </row>
    <row r="654" spans="1:5" x14ac:dyDescent="0.2">
      <c r="A654" t="s">
        <v>865</v>
      </c>
      <c r="B654" t="s">
        <v>899</v>
      </c>
      <c r="E654" t="s">
        <v>1088</v>
      </c>
    </row>
    <row r="655" spans="1:5" x14ac:dyDescent="0.2">
      <c r="A655" t="s">
        <v>865</v>
      </c>
      <c r="B655" t="s">
        <v>900</v>
      </c>
      <c r="E655" t="s">
        <v>1089</v>
      </c>
    </row>
    <row r="656" spans="1:5" x14ac:dyDescent="0.2">
      <c r="A656" t="s">
        <v>865</v>
      </c>
      <c r="B656" t="s">
        <v>902</v>
      </c>
      <c r="E656" t="s">
        <v>1089</v>
      </c>
    </row>
    <row r="657" spans="1:5" x14ac:dyDescent="0.2">
      <c r="A657" t="s">
        <v>865</v>
      </c>
      <c r="B657" t="s">
        <v>903</v>
      </c>
      <c r="E657" t="s">
        <v>1089</v>
      </c>
    </row>
    <row r="658" spans="1:5" x14ac:dyDescent="0.2">
      <c r="A658" t="s">
        <v>865</v>
      </c>
      <c r="B658" t="s">
        <v>904</v>
      </c>
      <c r="E658" t="s">
        <v>1089</v>
      </c>
    </row>
    <row r="659" spans="1:5" x14ac:dyDescent="0.2">
      <c r="A659" t="s">
        <v>865</v>
      </c>
      <c r="B659" t="s">
        <v>905</v>
      </c>
      <c r="E659" t="s">
        <v>1089</v>
      </c>
    </row>
    <row r="660" spans="1:5" x14ac:dyDescent="0.2">
      <c r="A660" t="s">
        <v>865</v>
      </c>
      <c r="B660" t="s">
        <v>906</v>
      </c>
      <c r="E660" t="s">
        <v>1089</v>
      </c>
    </row>
    <row r="661" spans="1:5" x14ac:dyDescent="0.2">
      <c r="A661" t="s">
        <v>865</v>
      </c>
      <c r="B661" t="s">
        <v>907</v>
      </c>
      <c r="E661" t="s">
        <v>1089</v>
      </c>
    </row>
    <row r="662" spans="1:5" x14ac:dyDescent="0.2">
      <c r="A662" t="s">
        <v>865</v>
      </c>
      <c r="B662" t="s">
        <v>908</v>
      </c>
      <c r="E662" t="s">
        <v>1089</v>
      </c>
    </row>
    <row r="663" spans="1:5" x14ac:dyDescent="0.2">
      <c r="A663" t="s">
        <v>865</v>
      </c>
      <c r="B663" t="s">
        <v>909</v>
      </c>
      <c r="E663" t="s">
        <v>1089</v>
      </c>
    </row>
    <row r="664" spans="1:5" x14ac:dyDescent="0.2">
      <c r="A664" t="s">
        <v>865</v>
      </c>
      <c r="B664" t="s">
        <v>910</v>
      </c>
      <c r="E664" t="s">
        <v>1089</v>
      </c>
    </row>
    <row r="665" spans="1:5" x14ac:dyDescent="0.2">
      <c r="A665" t="s">
        <v>865</v>
      </c>
      <c r="B665" t="s">
        <v>911</v>
      </c>
      <c r="E665" t="s">
        <v>1089</v>
      </c>
    </row>
    <row r="666" spans="1:5" x14ac:dyDescent="0.2">
      <c r="A666" t="s">
        <v>865</v>
      </c>
      <c r="B666" t="s">
        <v>912</v>
      </c>
      <c r="E666" t="s">
        <v>1090</v>
      </c>
    </row>
    <row r="667" spans="1:5" x14ac:dyDescent="0.2">
      <c r="A667" t="s">
        <v>865</v>
      </c>
      <c r="B667" t="s">
        <v>913</v>
      </c>
      <c r="E667" t="s">
        <v>1090</v>
      </c>
    </row>
    <row r="668" spans="1:5" x14ac:dyDescent="0.2">
      <c r="A668" t="s">
        <v>865</v>
      </c>
      <c r="B668" t="s">
        <v>914</v>
      </c>
      <c r="E668" t="s">
        <v>1090</v>
      </c>
    </row>
    <row r="669" spans="1:5" x14ac:dyDescent="0.2">
      <c r="A669" t="s">
        <v>865</v>
      </c>
      <c r="B669" t="s">
        <v>915</v>
      </c>
      <c r="E669" t="s">
        <v>1090</v>
      </c>
    </row>
    <row r="670" spans="1:5" x14ac:dyDescent="0.2">
      <c r="A670" t="s">
        <v>865</v>
      </c>
      <c r="B670" t="s">
        <v>916</v>
      </c>
      <c r="E670" t="s">
        <v>1091</v>
      </c>
    </row>
    <row r="671" spans="1:5" x14ac:dyDescent="0.2">
      <c r="A671" t="s">
        <v>865</v>
      </c>
      <c r="B671" t="s">
        <v>917</v>
      </c>
      <c r="E671" t="s">
        <v>1091</v>
      </c>
    </row>
    <row r="672" spans="1:5" x14ac:dyDescent="0.2">
      <c r="A672" t="s">
        <v>865</v>
      </c>
      <c r="B672" t="s">
        <v>918</v>
      </c>
      <c r="E672" t="s">
        <v>1091</v>
      </c>
    </row>
    <row r="673" spans="1:5" x14ac:dyDescent="0.2">
      <c r="A673" t="s">
        <v>865</v>
      </c>
      <c r="B673" t="s">
        <v>919</v>
      </c>
      <c r="E673" t="s">
        <v>1092</v>
      </c>
    </row>
    <row r="674" spans="1:5" x14ac:dyDescent="0.2">
      <c r="A674" t="s">
        <v>865</v>
      </c>
      <c r="B674" t="s">
        <v>920</v>
      </c>
      <c r="E674" t="s">
        <v>1092</v>
      </c>
    </row>
    <row r="675" spans="1:5" x14ac:dyDescent="0.2">
      <c r="A675" t="s">
        <v>865</v>
      </c>
      <c r="B675" t="s">
        <v>921</v>
      </c>
      <c r="E675" t="s">
        <v>1092</v>
      </c>
    </row>
    <row r="676" spans="1:5" x14ac:dyDescent="0.2">
      <c r="A676" t="s">
        <v>865</v>
      </c>
      <c r="B676" t="s">
        <v>922</v>
      </c>
      <c r="E676" t="s">
        <v>1092</v>
      </c>
    </row>
    <row r="677" spans="1:5" x14ac:dyDescent="0.2">
      <c r="A677" t="s">
        <v>865</v>
      </c>
      <c r="B677" t="s">
        <v>923</v>
      </c>
      <c r="E677" t="s">
        <v>1092</v>
      </c>
    </row>
    <row r="678" spans="1:5" x14ac:dyDescent="0.2">
      <c r="A678" t="s">
        <v>865</v>
      </c>
      <c r="B678" t="s">
        <v>924</v>
      </c>
      <c r="E678" t="s">
        <v>1092</v>
      </c>
    </row>
    <row r="679" spans="1:5" x14ac:dyDescent="0.2">
      <c r="A679" t="s">
        <v>865</v>
      </c>
      <c r="B679" t="s">
        <v>925</v>
      </c>
      <c r="E679" t="s">
        <v>1092</v>
      </c>
    </row>
    <row r="680" spans="1:5" x14ac:dyDescent="0.2">
      <c r="A680" t="s">
        <v>865</v>
      </c>
      <c r="B680" t="s">
        <v>926</v>
      </c>
      <c r="E680" t="s">
        <v>1092</v>
      </c>
    </row>
    <row r="681" spans="1:5" x14ac:dyDescent="0.2">
      <c r="A681" t="s">
        <v>865</v>
      </c>
      <c r="B681" t="s">
        <v>927</v>
      </c>
      <c r="E681" t="s">
        <v>1092</v>
      </c>
    </row>
    <row r="682" spans="1:5" x14ac:dyDescent="0.2">
      <c r="A682" t="s">
        <v>865</v>
      </c>
      <c r="B682" t="s">
        <v>928</v>
      </c>
      <c r="E682" t="s">
        <v>1092</v>
      </c>
    </row>
    <row r="683" spans="1:5" x14ac:dyDescent="0.2">
      <c r="A683" t="s">
        <v>865</v>
      </c>
      <c r="B683" t="s">
        <v>929</v>
      </c>
      <c r="E683" t="s">
        <v>929</v>
      </c>
    </row>
    <row r="684" spans="1:5" x14ac:dyDescent="0.2">
      <c r="A684" t="s">
        <v>865</v>
      </c>
      <c r="B684" t="s">
        <v>932</v>
      </c>
      <c r="E684" t="s">
        <v>932</v>
      </c>
    </row>
    <row r="685" spans="1:5" x14ac:dyDescent="0.2">
      <c r="A685" t="s">
        <v>865</v>
      </c>
      <c r="B685" t="s">
        <v>933</v>
      </c>
      <c r="E685" t="s">
        <v>933</v>
      </c>
    </row>
    <row r="686" spans="1:5" x14ac:dyDescent="0.2">
      <c r="A686" t="s">
        <v>865</v>
      </c>
      <c r="B686" t="s">
        <v>934</v>
      </c>
      <c r="E686" t="s">
        <v>934</v>
      </c>
    </row>
    <row r="687" spans="1:5" x14ac:dyDescent="0.2">
      <c r="A687" t="s">
        <v>865</v>
      </c>
      <c r="B687" t="s">
        <v>935</v>
      </c>
      <c r="E687" t="s">
        <v>935</v>
      </c>
    </row>
    <row r="688" spans="1:5" x14ac:dyDescent="0.2">
      <c r="A688" t="s">
        <v>865</v>
      </c>
      <c r="B688" t="s">
        <v>936</v>
      </c>
      <c r="E688" t="s">
        <v>936</v>
      </c>
    </row>
    <row r="689" spans="1:5" x14ac:dyDescent="0.2">
      <c r="A689" t="s">
        <v>865</v>
      </c>
      <c r="B689" t="s">
        <v>937</v>
      </c>
      <c r="E689" t="s">
        <v>937</v>
      </c>
    </row>
    <row r="690" spans="1:5" x14ac:dyDescent="0.2">
      <c r="A690" t="s">
        <v>865</v>
      </c>
      <c r="B690" t="s">
        <v>939</v>
      </c>
      <c r="E690" t="s">
        <v>939</v>
      </c>
    </row>
    <row r="691" spans="1:5" x14ac:dyDescent="0.2">
      <c r="A691" t="s">
        <v>865</v>
      </c>
      <c r="B691" t="s">
        <v>940</v>
      </c>
      <c r="E691" t="s">
        <v>940</v>
      </c>
    </row>
    <row r="692" spans="1:5" x14ac:dyDescent="0.2">
      <c r="A692" t="s">
        <v>865</v>
      </c>
      <c r="B692" t="s">
        <v>941</v>
      </c>
      <c r="E692" t="s">
        <v>941</v>
      </c>
    </row>
    <row r="693" spans="1:5" x14ac:dyDescent="0.2">
      <c r="A693" t="s">
        <v>865</v>
      </c>
      <c r="B693" t="s">
        <v>944</v>
      </c>
      <c r="E693" t="s">
        <v>944</v>
      </c>
    </row>
    <row r="694" spans="1:5" x14ac:dyDescent="0.2">
      <c r="A694" t="s">
        <v>865</v>
      </c>
      <c r="B694" t="s">
        <v>946</v>
      </c>
      <c r="E694" t="s">
        <v>946</v>
      </c>
    </row>
    <row r="695" spans="1:5" x14ac:dyDescent="0.2">
      <c r="A695" t="s">
        <v>865</v>
      </c>
      <c r="B695" t="s">
        <v>947</v>
      </c>
      <c r="E695" t="s">
        <v>947</v>
      </c>
    </row>
    <row r="696" spans="1:5" x14ac:dyDescent="0.2">
      <c r="A696" t="s">
        <v>865</v>
      </c>
      <c r="B696" t="s">
        <v>948</v>
      </c>
      <c r="E696" t="s">
        <v>948</v>
      </c>
    </row>
    <row r="697" spans="1:5" x14ac:dyDescent="0.2">
      <c r="A697" t="s">
        <v>865</v>
      </c>
      <c r="B697" t="s">
        <v>949</v>
      </c>
      <c r="E697" t="s">
        <v>949</v>
      </c>
    </row>
    <row r="698" spans="1:5" x14ac:dyDescent="0.2">
      <c r="A698" t="s">
        <v>865</v>
      </c>
      <c r="B698" t="s">
        <v>953</v>
      </c>
      <c r="E698" t="s">
        <v>953</v>
      </c>
    </row>
    <row r="699" spans="1:5" x14ac:dyDescent="0.2">
      <c r="A699" t="s">
        <v>865</v>
      </c>
      <c r="B699" t="s">
        <v>955</v>
      </c>
      <c r="E699" t="s">
        <v>955</v>
      </c>
    </row>
    <row r="700" spans="1:5" x14ac:dyDescent="0.2">
      <c r="A700" t="s">
        <v>865</v>
      </c>
      <c r="B700" t="s">
        <v>957</v>
      </c>
      <c r="E700" t="s">
        <v>957</v>
      </c>
    </row>
    <row r="701" spans="1:5" x14ac:dyDescent="0.2">
      <c r="A701" t="s">
        <v>865</v>
      </c>
      <c r="B701" t="s">
        <v>959</v>
      </c>
      <c r="E701" t="s">
        <v>959</v>
      </c>
    </row>
    <row r="702" spans="1:5" x14ac:dyDescent="0.2">
      <c r="A702" t="s">
        <v>865</v>
      </c>
      <c r="B702" t="s">
        <v>960</v>
      </c>
      <c r="E702" t="s">
        <v>960</v>
      </c>
    </row>
    <row r="703" spans="1:5" x14ac:dyDescent="0.2">
      <c r="A703" t="s">
        <v>865</v>
      </c>
      <c r="B703" t="s">
        <v>962</v>
      </c>
      <c r="E703" t="s">
        <v>962</v>
      </c>
    </row>
    <row r="704" spans="1:5" x14ac:dyDescent="0.2">
      <c r="A704" t="s">
        <v>865</v>
      </c>
      <c r="B704" t="s">
        <v>963</v>
      </c>
      <c r="E704" t="s">
        <v>963</v>
      </c>
    </row>
    <row r="705" spans="1:5" x14ac:dyDescent="0.2">
      <c r="A705" t="s">
        <v>865</v>
      </c>
      <c r="B705" t="s">
        <v>966</v>
      </c>
      <c r="E705" t="s">
        <v>966</v>
      </c>
    </row>
    <row r="706" spans="1:5" x14ac:dyDescent="0.2">
      <c r="A706" t="s">
        <v>865</v>
      </c>
      <c r="B706" t="s">
        <v>970</v>
      </c>
      <c r="E706" t="s">
        <v>970</v>
      </c>
    </row>
    <row r="707" spans="1:5" x14ac:dyDescent="0.2">
      <c r="A707" t="s">
        <v>865</v>
      </c>
      <c r="B707" t="s">
        <v>972</v>
      </c>
      <c r="E707" t="s">
        <v>972</v>
      </c>
    </row>
    <row r="708" spans="1:5" x14ac:dyDescent="0.2">
      <c r="A708" t="s">
        <v>865</v>
      </c>
      <c r="B708" t="s">
        <v>974</v>
      </c>
      <c r="E708" t="s">
        <v>974</v>
      </c>
    </row>
    <row r="709" spans="1:5" x14ac:dyDescent="0.2">
      <c r="A709" t="s">
        <v>865</v>
      </c>
      <c r="B709" t="s">
        <v>977</v>
      </c>
      <c r="E709" t="s">
        <v>977</v>
      </c>
    </row>
    <row r="710" spans="1:5" x14ac:dyDescent="0.2">
      <c r="A710" t="s">
        <v>865</v>
      </c>
      <c r="B710" t="s">
        <v>979</v>
      </c>
      <c r="E710" t="s">
        <v>979</v>
      </c>
    </row>
    <row r="711" spans="1:5" x14ac:dyDescent="0.2">
      <c r="A711" t="s">
        <v>865</v>
      </c>
      <c r="B711" t="s">
        <v>981</v>
      </c>
      <c r="E711" t="s">
        <v>981</v>
      </c>
    </row>
    <row r="712" spans="1:5" x14ac:dyDescent="0.2">
      <c r="A712" t="s">
        <v>865</v>
      </c>
      <c r="B712" t="s">
        <v>983</v>
      </c>
      <c r="E712" t="s">
        <v>983</v>
      </c>
    </row>
    <row r="713" spans="1:5" x14ac:dyDescent="0.2">
      <c r="A713" t="s">
        <v>865</v>
      </c>
      <c r="B713" t="s">
        <v>986</v>
      </c>
      <c r="E713" t="s">
        <v>986</v>
      </c>
    </row>
    <row r="714" spans="1:5" x14ac:dyDescent="0.2">
      <c r="A714" t="s">
        <v>865</v>
      </c>
      <c r="B714" t="s">
        <v>988</v>
      </c>
      <c r="E714" t="s">
        <v>988</v>
      </c>
    </row>
    <row r="715" spans="1:5" x14ac:dyDescent="0.2">
      <c r="A715" t="s">
        <v>865</v>
      </c>
      <c r="B715" t="s">
        <v>990</v>
      </c>
      <c r="E715" t="s">
        <v>1093</v>
      </c>
    </row>
    <row r="716" spans="1:5" x14ac:dyDescent="0.2">
      <c r="A716" t="s">
        <v>865</v>
      </c>
      <c r="B716" t="s">
        <v>991</v>
      </c>
      <c r="E716" t="s">
        <v>1094</v>
      </c>
    </row>
    <row r="717" spans="1:5" x14ac:dyDescent="0.2">
      <c r="A717" t="s">
        <v>865</v>
      </c>
      <c r="B717" t="s">
        <v>992</v>
      </c>
      <c r="E717" t="s">
        <v>1094</v>
      </c>
    </row>
    <row r="718" spans="1:5" x14ac:dyDescent="0.2">
      <c r="A718" t="s">
        <v>865</v>
      </c>
      <c r="B718" t="s">
        <v>993</v>
      </c>
      <c r="E718" t="s">
        <v>1095</v>
      </c>
    </row>
    <row r="719" spans="1:5" x14ac:dyDescent="0.2">
      <c r="A719" t="s">
        <v>865</v>
      </c>
      <c r="B719" t="s">
        <v>994</v>
      </c>
      <c r="E719" t="s">
        <v>1095</v>
      </c>
    </row>
    <row r="720" spans="1:5" x14ac:dyDescent="0.2">
      <c r="A720" t="s">
        <v>865</v>
      </c>
      <c r="B720" t="s">
        <v>995</v>
      </c>
      <c r="E720" t="s">
        <v>1096</v>
      </c>
    </row>
    <row r="721" spans="1:5" x14ac:dyDescent="0.2">
      <c r="A721" t="s">
        <v>865</v>
      </c>
      <c r="B721" t="s">
        <v>996</v>
      </c>
      <c r="E721" t="s">
        <v>1096</v>
      </c>
    </row>
    <row r="722" spans="1:5" x14ac:dyDescent="0.2">
      <c r="A722" t="s">
        <v>865</v>
      </c>
      <c r="B722" t="s">
        <v>997</v>
      </c>
      <c r="E722" t="s">
        <v>997</v>
      </c>
    </row>
    <row r="723" spans="1:5" x14ac:dyDescent="0.2">
      <c r="A723" t="s">
        <v>865</v>
      </c>
      <c r="B723" t="s">
        <v>999</v>
      </c>
      <c r="E723" t="s">
        <v>999</v>
      </c>
    </row>
    <row r="724" spans="1:5" x14ac:dyDescent="0.2">
      <c r="A724" t="s">
        <v>865</v>
      </c>
      <c r="B724" t="s">
        <v>1001</v>
      </c>
      <c r="E724" t="s">
        <v>1001</v>
      </c>
    </row>
    <row r="725" spans="1:5" x14ac:dyDescent="0.2">
      <c r="A725" t="s">
        <v>1002</v>
      </c>
      <c r="B725" t="s">
        <v>1003</v>
      </c>
      <c r="E725" t="s">
        <v>1097</v>
      </c>
    </row>
    <row r="726" spans="1:5" x14ac:dyDescent="0.2">
      <c r="A726" t="s">
        <v>1004</v>
      </c>
      <c r="B726" t="s">
        <v>1005</v>
      </c>
      <c r="E726" t="s">
        <v>1098</v>
      </c>
    </row>
    <row r="727" spans="1:5" x14ac:dyDescent="0.2">
      <c r="A727" t="s">
        <v>1006</v>
      </c>
      <c r="B727" t="s">
        <v>1007</v>
      </c>
      <c r="E727" t="s">
        <v>1099</v>
      </c>
    </row>
    <row r="728" spans="1:5" x14ac:dyDescent="0.2">
      <c r="A728" t="s">
        <v>1008</v>
      </c>
      <c r="B728" t="s">
        <v>1009</v>
      </c>
      <c r="E728" t="s">
        <v>1100</v>
      </c>
    </row>
    <row r="729" spans="1:5" x14ac:dyDescent="0.2">
      <c r="A729" t="s">
        <v>1010</v>
      </c>
      <c r="B729" t="s">
        <v>1011</v>
      </c>
      <c r="E729" t="s">
        <v>1101</v>
      </c>
    </row>
    <row r="730" spans="1:5" x14ac:dyDescent="0.2">
      <c r="A730" t="s">
        <v>1012</v>
      </c>
      <c r="B730" t="s">
        <v>1013</v>
      </c>
      <c r="E730" t="s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chloroplast.raxml.support.renam</vt:lpstr>
      <vt:lpstr>Unique populations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Engle-Wrye, Nicholas</dc:creator>
  <cp:lastModifiedBy>Engle-Wrye, Nicholas</cp:lastModifiedBy>
  <dcterms:created xsi:type="dcterms:W3CDTF">2025-03-28T19:28:30Z</dcterms:created>
  <dcterms:modified xsi:type="dcterms:W3CDTF">2025-04-01T16:26:32Z</dcterms:modified>
</cp:coreProperties>
</file>